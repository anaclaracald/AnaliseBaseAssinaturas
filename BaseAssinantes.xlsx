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/>
  <mc:AlternateContent xmlns:mc="http://schemas.openxmlformats.org/markup-compatibility/2006">
    <mc:Choice Requires="x15">
      <x15ac:absPath xmlns:x15ac="http://schemas.microsoft.com/office/spreadsheetml/2010/11/ac" url="/Users/anaclaracaldeira/Documents/DadosUninter/"/>
    </mc:Choice>
  </mc:AlternateContent>
  <xr:revisionPtr revIDLastSave="0" documentId="8_{1E131177-0620-C24B-ACF2-4A8EA0F0AFA4}" xr6:coauthVersionLast="47" xr6:coauthVersionMax="47" xr10:uidLastSave="{00000000-0000-0000-0000-000000000000}"/>
  <bookViews>
    <workbookView xWindow="0" yWindow="660" windowWidth="30240" windowHeight="18980" activeTab="3" xr2:uid="{A6417F27-DCD0-4E6C-9D29-57B48A9BF817}"/>
  </bookViews>
  <sheets>
    <sheet name="BaseAssinantes" sheetId="1" r:id="rId1"/>
    <sheet name="Planejamento" sheetId="7" r:id="rId2"/>
    <sheet name="Análise" sheetId="8" r:id="rId3"/>
    <sheet name="Dashboard" sheetId="6" r:id="rId4"/>
  </sheets>
  <definedNames>
    <definedName name="_xlnm._FilterDatabase" localSheetId="0" hidden="1">BaseAssinantes!$B$2:$I$804</definedName>
    <definedName name="_xlchart.v5.0" hidden="1">Análise!$Q$10</definedName>
    <definedName name="_xlchart.v5.1" hidden="1">Análise!$Q$11:$Q$13</definedName>
    <definedName name="_xlchart.v5.2" hidden="1">Análise!$S$11:$S$13</definedName>
    <definedName name="_xlchart.v5.3" hidden="1">Análise!$Q$10</definedName>
    <definedName name="_xlchart.v5.4" hidden="1">Análise!$Q$11:$Q$13</definedName>
    <definedName name="_xlchart.v5.5" hidden="1">Análise!$S$11:$S$13</definedName>
    <definedName name="SegmentaçãodeDados_Assinatura">#N/A</definedName>
    <definedName name="SegmentaçãodeDados_Faixa_etária">#N/A</definedName>
    <definedName name="SegmentaçãodeDados_Gênero">#N/A</definedName>
    <definedName name="SegmentaçãodeDados_Região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8" i="1" l="1"/>
  <c r="M258" i="1" s="1"/>
  <c r="L518" i="1"/>
  <c r="M518" i="1" s="1"/>
  <c r="L41" i="1"/>
  <c r="M41" i="1" s="1"/>
  <c r="L245" i="1"/>
  <c r="M245" i="1" s="1"/>
  <c r="L123" i="1"/>
  <c r="M123" i="1" s="1"/>
  <c r="L144" i="1"/>
  <c r="M144" i="1" s="1"/>
  <c r="L549" i="1"/>
  <c r="M549" i="1" s="1"/>
  <c r="L708" i="1"/>
  <c r="M708" i="1" s="1"/>
  <c r="L279" i="1"/>
  <c r="M279" i="1" s="1"/>
  <c r="L765" i="1"/>
  <c r="M765" i="1" s="1"/>
  <c r="L55" i="1"/>
  <c r="M55" i="1" s="1"/>
  <c r="L225" i="1"/>
  <c r="M225" i="1" s="1"/>
  <c r="L312" i="1"/>
  <c r="M312" i="1" s="1"/>
  <c r="L239" i="1"/>
  <c r="M239" i="1" s="1"/>
  <c r="L658" i="1"/>
  <c r="M658" i="1" s="1"/>
  <c r="L57" i="1"/>
  <c r="M57" i="1" s="1"/>
  <c r="L478" i="1"/>
  <c r="M478" i="1" s="1"/>
  <c r="L581" i="1"/>
  <c r="M581" i="1" s="1"/>
  <c r="L17" i="1"/>
  <c r="M17" i="1" s="1"/>
  <c r="L416" i="1"/>
  <c r="M416" i="1" s="1"/>
  <c r="L538" i="1"/>
  <c r="M538" i="1" s="1"/>
  <c r="L117" i="1"/>
  <c r="M117" i="1" s="1"/>
  <c r="L304" i="1"/>
  <c r="M304" i="1" s="1"/>
  <c r="L352" i="1"/>
  <c r="M352" i="1" s="1"/>
  <c r="L502" i="1"/>
  <c r="M502" i="1" s="1"/>
  <c r="L388" i="1"/>
  <c r="M388" i="1" s="1"/>
  <c r="L694" i="1"/>
  <c r="M694" i="1" s="1"/>
  <c r="L494" i="1"/>
  <c r="M494" i="1" s="1"/>
  <c r="L380" i="1"/>
  <c r="M380" i="1" s="1"/>
  <c r="L777" i="1"/>
  <c r="M777" i="1" s="1"/>
  <c r="L546" i="1"/>
  <c r="M546" i="1" s="1"/>
  <c r="L514" i="1"/>
  <c r="M514" i="1" s="1"/>
  <c r="L25" i="1"/>
  <c r="M25" i="1" s="1"/>
  <c r="L508" i="1"/>
  <c r="M508" i="1" s="1"/>
  <c r="L722" i="1"/>
  <c r="M722" i="1" s="1"/>
  <c r="L532" i="1"/>
  <c r="M532" i="1" s="1"/>
  <c r="L140" i="1"/>
  <c r="M140" i="1" s="1"/>
  <c r="L405" i="1"/>
  <c r="M405" i="1" s="1"/>
  <c r="L530" i="1"/>
  <c r="M530" i="1" s="1"/>
  <c r="L75" i="1"/>
  <c r="M75" i="1" s="1"/>
  <c r="L167" i="1"/>
  <c r="M167" i="1" s="1"/>
  <c r="L306" i="1"/>
  <c r="M306" i="1" s="1"/>
  <c r="L89" i="1"/>
  <c r="M89" i="1" s="1"/>
  <c r="L213" i="1"/>
  <c r="M213" i="1" s="1"/>
  <c r="L292" i="1"/>
  <c r="M292" i="1" s="1"/>
  <c r="L308" i="1"/>
  <c r="M308" i="1" s="1"/>
  <c r="L555" i="1"/>
  <c r="M555" i="1" s="1"/>
  <c r="L401" i="1"/>
  <c r="M401" i="1" s="1"/>
  <c r="L249" i="1"/>
  <c r="M249" i="1" s="1"/>
  <c r="L547" i="1"/>
  <c r="M547" i="1" s="1"/>
  <c r="L540" i="1"/>
  <c r="M540" i="1" s="1"/>
  <c r="L115" i="1"/>
  <c r="M115" i="1" s="1"/>
  <c r="L569" i="1"/>
  <c r="M569" i="1" s="1"/>
  <c r="L348" i="1"/>
  <c r="M348" i="1" s="1"/>
  <c r="L463" i="1"/>
  <c r="M463" i="1" s="1"/>
  <c r="L690" i="1"/>
  <c r="M690" i="1" s="1"/>
  <c r="L544" i="1"/>
  <c r="M544" i="1" s="1"/>
  <c r="L599" i="1"/>
  <c r="M599" i="1" s="1"/>
  <c r="L795" i="1"/>
  <c r="M795" i="1" s="1"/>
  <c r="L205" i="1"/>
  <c r="M205" i="1" s="1"/>
  <c r="L504" i="1"/>
  <c r="M504" i="1" s="1"/>
  <c r="L763" i="1"/>
  <c r="M763" i="1" s="1"/>
  <c r="L420" i="1"/>
  <c r="M420" i="1" s="1"/>
  <c r="L382" i="1"/>
  <c r="M382" i="1" s="1"/>
  <c r="L38" i="1"/>
  <c r="M38" i="1" s="1"/>
  <c r="L81" i="1"/>
  <c r="M81" i="1" s="1"/>
  <c r="L266" i="1"/>
  <c r="M266" i="1" s="1"/>
  <c r="L524" i="1"/>
  <c r="M524" i="1" s="1"/>
  <c r="L153" i="1"/>
  <c r="M153" i="1" s="1"/>
  <c r="L358" i="1"/>
  <c r="M358" i="1" s="1"/>
  <c r="L475" i="1"/>
  <c r="M475" i="1" s="1"/>
  <c r="L534" i="1"/>
  <c r="M534" i="1" s="1"/>
  <c r="L149" i="1"/>
  <c r="M149" i="1" s="1"/>
  <c r="L85" i="1"/>
  <c r="M85" i="1" s="1"/>
  <c r="L444" i="1"/>
  <c r="M444" i="1" s="1"/>
  <c r="L597" i="1"/>
  <c r="M597" i="1" s="1"/>
  <c r="L704" i="1"/>
  <c r="M704" i="1" s="1"/>
  <c r="L650" i="1"/>
  <c r="M650" i="1" s="1"/>
  <c r="L473" i="1"/>
  <c r="M473" i="1" s="1"/>
  <c r="L424" i="1"/>
  <c r="M424" i="1" s="1"/>
  <c r="L638" i="1"/>
  <c r="M638" i="1" s="1"/>
  <c r="L146" i="1"/>
  <c r="M146" i="1" s="1"/>
  <c r="L119" i="1"/>
  <c r="M119" i="1" s="1"/>
  <c r="L235" i="1"/>
  <c r="M235" i="1" s="1"/>
  <c r="L496" i="1"/>
  <c r="M496" i="1" s="1"/>
  <c r="L336" i="1"/>
  <c r="M336" i="1" s="1"/>
  <c r="L656" i="1"/>
  <c r="M656" i="1" s="1"/>
  <c r="L63" i="1"/>
  <c r="M63" i="1" s="1"/>
  <c r="L567" i="1"/>
  <c r="M567" i="1" s="1"/>
  <c r="L710" i="1"/>
  <c r="M710" i="1" s="1"/>
  <c r="L684" i="1"/>
  <c r="M684" i="1" s="1"/>
  <c r="L97" i="1"/>
  <c r="M97" i="1" s="1"/>
  <c r="L390" i="1"/>
  <c r="M390" i="1" s="1"/>
  <c r="L603" i="1"/>
  <c r="M603" i="1" s="1"/>
  <c r="L736" i="1"/>
  <c r="M736" i="1" s="1"/>
  <c r="L255" i="1"/>
  <c r="M255" i="1" s="1"/>
  <c r="L300" i="1"/>
  <c r="M300" i="1" s="1"/>
  <c r="L644" i="1"/>
  <c r="M644" i="1" s="1"/>
  <c r="L260" i="1"/>
  <c r="M260" i="1" s="1"/>
  <c r="L316" i="1"/>
  <c r="M316" i="1" s="1"/>
  <c r="L779" i="1"/>
  <c r="M779" i="1" s="1"/>
  <c r="L161" i="1"/>
  <c r="M161" i="1" s="1"/>
  <c r="L323" i="1"/>
  <c r="M323" i="1" s="1"/>
  <c r="L203" i="1"/>
  <c r="M203" i="1" s="1"/>
  <c r="L334" i="1"/>
  <c r="M334" i="1" s="1"/>
  <c r="L621" i="1"/>
  <c r="M621" i="1" s="1"/>
  <c r="L251" i="1"/>
  <c r="M251" i="1" s="1"/>
  <c r="L670" i="1"/>
  <c r="M670" i="1" s="1"/>
  <c r="L181" i="1"/>
  <c r="M181" i="1" s="1"/>
  <c r="L559" i="1"/>
  <c r="M559" i="1" s="1"/>
  <c r="L520" i="1"/>
  <c r="M520" i="1" s="1"/>
  <c r="L7" i="1"/>
  <c r="M7" i="1" s="1"/>
  <c r="L787" i="1"/>
  <c r="M787" i="1" s="1"/>
  <c r="L227" i="1"/>
  <c r="M227" i="1" s="1"/>
  <c r="L744" i="1"/>
  <c r="M744" i="1" s="1"/>
  <c r="L726" i="1"/>
  <c r="M726" i="1" s="1"/>
  <c r="L482" i="1"/>
  <c r="M482" i="1" s="1"/>
  <c r="L648" i="1"/>
  <c r="M648" i="1" s="1"/>
  <c r="L173" i="1"/>
  <c r="M173" i="1" s="1"/>
  <c r="L759" i="1"/>
  <c r="M759" i="1" s="1"/>
  <c r="L185" i="1"/>
  <c r="M185" i="1" s="1"/>
  <c r="L221" i="1"/>
  <c r="M221" i="1" s="1"/>
  <c r="L360" i="1"/>
  <c r="M360" i="1" s="1"/>
  <c r="L490" i="1"/>
  <c r="M490" i="1" s="1"/>
  <c r="L573" i="1"/>
  <c r="M573" i="1" s="1"/>
  <c r="L207" i="1"/>
  <c r="M207" i="1" s="1"/>
  <c r="L449" i="1"/>
  <c r="M449" i="1" s="1"/>
  <c r="L642" i="1"/>
  <c r="M642" i="1" s="1"/>
  <c r="L654" i="1"/>
  <c r="M654" i="1" s="1"/>
  <c r="L295" i="1"/>
  <c r="M295" i="1" s="1"/>
  <c r="L461" i="1"/>
  <c r="M461" i="1" s="1"/>
  <c r="L498" i="1"/>
  <c r="M498" i="1" s="1"/>
  <c r="L476" i="1"/>
  <c r="M476" i="1" s="1"/>
  <c r="L183" i="1"/>
  <c r="M183" i="1" s="1"/>
  <c r="L465" i="1"/>
  <c r="M465" i="1" s="1"/>
  <c r="L426" i="1"/>
  <c r="M426" i="1" s="1"/>
  <c r="L775" i="1"/>
  <c r="M775" i="1" s="1"/>
  <c r="L619" i="1"/>
  <c r="M619" i="1" s="1"/>
  <c r="L455" i="1"/>
  <c r="M455" i="1" s="1"/>
  <c r="L627" i="1"/>
  <c r="M627" i="1" s="1"/>
  <c r="L241" i="1"/>
  <c r="M241" i="1" s="1"/>
  <c r="L381" i="1"/>
  <c r="M381" i="1" s="1"/>
  <c r="L553" i="1"/>
  <c r="M553" i="1" s="1"/>
  <c r="L447" i="1"/>
  <c r="M447" i="1" s="1"/>
  <c r="L142" i="1"/>
  <c r="M142" i="1" s="1"/>
  <c r="L700" i="1"/>
  <c r="M700" i="1" s="1"/>
  <c r="L73" i="1"/>
  <c r="M73" i="1" s="1"/>
  <c r="L199" i="1"/>
  <c r="M199" i="1" s="1"/>
  <c r="L281" i="1"/>
  <c r="M281" i="1" s="1"/>
  <c r="L727" i="1"/>
  <c r="M727" i="1" s="1"/>
  <c r="L310" i="1"/>
  <c r="M310" i="1" s="1"/>
  <c r="L557" i="1"/>
  <c r="M557" i="1" s="1"/>
  <c r="L609" i="1"/>
  <c r="M609" i="1" s="1"/>
  <c r="L799" i="1"/>
  <c r="M799" i="1" s="1"/>
  <c r="L317" i="1"/>
  <c r="M317" i="1" s="1"/>
  <c r="L512" i="1"/>
  <c r="M512" i="1" s="1"/>
  <c r="L30" i="1"/>
  <c r="M30" i="1" s="1"/>
  <c r="L425" i="1"/>
  <c r="M425" i="1" s="1"/>
  <c r="L436" i="1"/>
  <c r="M436" i="1" s="1"/>
  <c r="L34" i="1"/>
  <c r="M34" i="1" s="1"/>
  <c r="L595" i="1"/>
  <c r="M595" i="1" s="1"/>
  <c r="L201" i="1"/>
  <c r="M201" i="1" s="1"/>
  <c r="L563" i="1"/>
  <c r="M563" i="1" s="1"/>
  <c r="L551" i="1"/>
  <c r="M551" i="1" s="1"/>
  <c r="L714" i="1"/>
  <c r="M714" i="1" s="1"/>
  <c r="L561" i="1"/>
  <c r="M561" i="1" s="1"/>
  <c r="L587" i="1"/>
  <c r="M587" i="1" s="1"/>
  <c r="L26" i="1"/>
  <c r="M26" i="1" s="1"/>
  <c r="L791" i="1"/>
  <c r="M791" i="1" s="1"/>
  <c r="L61" i="1"/>
  <c r="M61" i="1" s="1"/>
  <c r="L215" i="1"/>
  <c r="M215" i="1" s="1"/>
  <c r="L434" i="1"/>
  <c r="M434" i="1" s="1"/>
  <c r="L386" i="1"/>
  <c r="M386" i="1" s="1"/>
  <c r="L542" i="1"/>
  <c r="M542" i="1" s="1"/>
  <c r="L314" i="1"/>
  <c r="M314" i="1" s="1"/>
  <c r="L12" i="1"/>
  <c r="M12" i="1" s="1"/>
  <c r="L90" i="1"/>
  <c r="M90" i="1" s="1"/>
  <c r="L67" i="1"/>
  <c r="M67" i="1" s="1"/>
  <c r="L716" i="1"/>
  <c r="M716" i="1" s="1"/>
  <c r="L99" i="1"/>
  <c r="M99" i="1" s="1"/>
  <c r="L596" i="1"/>
  <c r="M596" i="1" s="1"/>
  <c r="L526" i="1"/>
  <c r="M526" i="1" s="1"/>
  <c r="L437" i="1"/>
  <c r="M437" i="1" s="1"/>
  <c r="L492" i="1"/>
  <c r="M492" i="1" s="1"/>
  <c r="L702" i="1"/>
  <c r="M702" i="1" s="1"/>
  <c r="L789" i="1"/>
  <c r="M789" i="1" s="1"/>
  <c r="L91" i="1"/>
  <c r="M91" i="1" s="1"/>
  <c r="L187" i="1"/>
  <c r="M187" i="1" s="1"/>
  <c r="L577" i="1"/>
  <c r="M577" i="1" s="1"/>
  <c r="L40" i="1"/>
  <c r="M40" i="1" s="1"/>
  <c r="L422" i="1"/>
  <c r="M422" i="1" s="1"/>
  <c r="L440" i="1"/>
  <c r="M440" i="1" s="1"/>
  <c r="L197" i="1"/>
  <c r="M197" i="1" s="1"/>
  <c r="L283" i="1"/>
  <c r="M283" i="1" s="1"/>
  <c r="L423" i="1"/>
  <c r="M423" i="1" s="1"/>
  <c r="L76" i="1"/>
  <c r="M76" i="1" s="1"/>
  <c r="L305" i="1"/>
  <c r="M305" i="1" s="1"/>
  <c r="L14" i="1"/>
  <c r="M14" i="1" s="1"/>
  <c r="L121" i="1"/>
  <c r="M121" i="1" s="1"/>
  <c r="L629" i="1"/>
  <c r="M629" i="1" s="1"/>
  <c r="L432" i="1"/>
  <c r="M432" i="1" s="1"/>
  <c r="L82" i="1"/>
  <c r="M82" i="1" s="1"/>
  <c r="L451" i="1"/>
  <c r="M451" i="1" s="1"/>
  <c r="L407" i="1"/>
  <c r="M407" i="1" s="1"/>
  <c r="L623" i="1"/>
  <c r="M623" i="1" s="1"/>
  <c r="L344" i="1"/>
  <c r="M344" i="1" s="1"/>
  <c r="L545" i="1"/>
  <c r="M545" i="1" s="1"/>
  <c r="L209" i="1"/>
  <c r="M209" i="1" s="1"/>
  <c r="L282" i="1"/>
  <c r="M282" i="1" s="1"/>
  <c r="L267" i="1"/>
  <c r="M267" i="1" s="1"/>
  <c r="L442" i="1"/>
  <c r="M442" i="1" s="1"/>
  <c r="L685" i="1"/>
  <c r="M685" i="1" s="1"/>
  <c r="L625" i="1"/>
  <c r="M625" i="1" s="1"/>
  <c r="L103" i="1"/>
  <c r="M103" i="1" s="1"/>
  <c r="L591" i="1"/>
  <c r="M591" i="1" s="1"/>
  <c r="L771" i="1"/>
  <c r="M771" i="1" s="1"/>
  <c r="L488" i="1"/>
  <c r="M488" i="1" s="1"/>
  <c r="L480" i="1"/>
  <c r="M480" i="1" s="1"/>
  <c r="L624" i="1"/>
  <c r="M624" i="1" s="1"/>
  <c r="L393" i="1"/>
  <c r="M393" i="1" s="1"/>
  <c r="L671" i="1"/>
  <c r="M671" i="1" s="1"/>
  <c r="L129" i="1"/>
  <c r="M129" i="1" s="1"/>
  <c r="L376" i="1"/>
  <c r="M376" i="1" s="1"/>
  <c r="L291" i="1"/>
  <c r="M291" i="1" s="1"/>
  <c r="L43" i="1"/>
  <c r="M43" i="1" s="1"/>
  <c r="L377" i="1"/>
  <c r="M377" i="1" s="1"/>
  <c r="L728" i="1"/>
  <c r="M728" i="1" s="1"/>
  <c r="L453" i="1"/>
  <c r="M453" i="1" s="1"/>
  <c r="L767" i="1"/>
  <c r="M767" i="1" s="1"/>
  <c r="L253" i="1"/>
  <c r="M253" i="1" s="1"/>
  <c r="L640" i="1"/>
  <c r="M640" i="1" s="1"/>
  <c r="L107" i="1"/>
  <c r="M107" i="1" s="1"/>
  <c r="L372" i="1"/>
  <c r="M372" i="1" s="1"/>
  <c r="L732" i="1"/>
  <c r="M732" i="1" s="1"/>
  <c r="L155" i="1"/>
  <c r="M155" i="1" s="1"/>
  <c r="L5" i="1"/>
  <c r="M5" i="1" s="1"/>
  <c r="L148" i="1"/>
  <c r="M148" i="1" s="1"/>
  <c r="L9" i="1"/>
  <c r="M9" i="1" s="1"/>
  <c r="L433" i="1"/>
  <c r="M433" i="1" s="1"/>
  <c r="L374" i="1"/>
  <c r="M374" i="1" s="1"/>
  <c r="L536" i="1"/>
  <c r="M536" i="1" s="1"/>
  <c r="L262" i="1"/>
  <c r="M262" i="1" s="1"/>
  <c r="L237" i="1"/>
  <c r="M237" i="1" s="1"/>
  <c r="L175" i="1"/>
  <c r="M175" i="1" s="1"/>
  <c r="L438" i="1"/>
  <c r="M438" i="1" s="1"/>
  <c r="L242" i="1"/>
  <c r="M242" i="1" s="1"/>
  <c r="L247" i="1"/>
  <c r="M247" i="1" s="1"/>
  <c r="L686" i="1"/>
  <c r="M686" i="1" s="1"/>
  <c r="L329" i="1"/>
  <c r="M329" i="1" s="1"/>
  <c r="L756" i="1"/>
  <c r="M756" i="1" s="1"/>
  <c r="L289" i="1"/>
  <c r="M289" i="1" s="1"/>
  <c r="L368" i="1"/>
  <c r="M368" i="1" s="1"/>
  <c r="L793" i="1"/>
  <c r="M793" i="1" s="1"/>
  <c r="L356" i="1"/>
  <c r="M356" i="1" s="1"/>
  <c r="L294" i="1"/>
  <c r="M294" i="1" s="1"/>
  <c r="L59" i="1"/>
  <c r="M59" i="1" s="1"/>
  <c r="L742" i="1"/>
  <c r="M742" i="1" s="1"/>
  <c r="L579" i="1"/>
  <c r="M579" i="1" s="1"/>
  <c r="L682" i="1"/>
  <c r="M682" i="1" s="1"/>
  <c r="L738" i="1"/>
  <c r="M738" i="1" s="1"/>
  <c r="L589" i="1"/>
  <c r="M589" i="1" s="1"/>
  <c r="L111" i="1"/>
  <c r="M111" i="1" s="1"/>
  <c r="L229" i="1"/>
  <c r="M229" i="1" s="1"/>
  <c r="L359" i="1"/>
  <c r="M359" i="1" s="1"/>
  <c r="L773" i="1"/>
  <c r="M773" i="1" s="1"/>
  <c r="L287" i="1"/>
  <c r="M287" i="1" s="1"/>
  <c r="L678" i="1"/>
  <c r="M678" i="1" s="1"/>
  <c r="L163" i="1"/>
  <c r="M163" i="1" s="1"/>
  <c r="L340" i="1"/>
  <c r="M340" i="1" s="1"/>
  <c r="L132" i="1"/>
  <c r="M132" i="1" s="1"/>
  <c r="L20" i="1"/>
  <c r="M20" i="1" s="1"/>
  <c r="L233" i="1"/>
  <c r="M233" i="1" s="1"/>
  <c r="L750" i="1"/>
  <c r="M750" i="1" s="1"/>
  <c r="L403" i="1"/>
  <c r="M403" i="1" s="1"/>
  <c r="L362" i="1"/>
  <c r="M362" i="1" s="1"/>
  <c r="L177" i="1"/>
  <c r="M177" i="1" s="1"/>
  <c r="L231" i="1"/>
  <c r="M231" i="1" s="1"/>
  <c r="L271" i="1"/>
  <c r="M271" i="1" s="1"/>
  <c r="L539" i="1"/>
  <c r="M539" i="1" s="1"/>
  <c r="L516" i="1"/>
  <c r="M516" i="1" s="1"/>
  <c r="L613" i="1"/>
  <c r="M613" i="1" s="1"/>
  <c r="L680" i="1"/>
  <c r="M680" i="1" s="1"/>
  <c r="L219" i="1"/>
  <c r="M219" i="1" s="1"/>
  <c r="L223" i="1"/>
  <c r="M223" i="1" s="1"/>
  <c r="L611" i="1"/>
  <c r="M611" i="1" s="1"/>
  <c r="L228" i="1"/>
  <c r="M228" i="1" s="1"/>
  <c r="L500" i="1"/>
  <c r="M500" i="1" s="1"/>
  <c r="L32" i="1"/>
  <c r="M32" i="1" s="1"/>
  <c r="L409" i="1"/>
  <c r="M409" i="1" s="1"/>
  <c r="L692" i="1"/>
  <c r="M692" i="1" s="1"/>
  <c r="L159" i="1"/>
  <c r="M159" i="1" s="1"/>
  <c r="L195" i="1"/>
  <c r="M195" i="1" s="1"/>
  <c r="L457" i="1"/>
  <c r="M457" i="1" s="1"/>
  <c r="L154" i="1"/>
  <c r="M154" i="1" s="1"/>
  <c r="L105" i="1"/>
  <c r="M105" i="1" s="1"/>
  <c r="L157" i="1"/>
  <c r="M157" i="1" s="1"/>
  <c r="L318" i="1"/>
  <c r="M318" i="1" s="1"/>
  <c r="L134" i="1"/>
  <c r="M134" i="1" s="1"/>
  <c r="L171" i="1"/>
  <c r="M171" i="1" s="1"/>
  <c r="L254" i="1"/>
  <c r="M254" i="1" s="1"/>
  <c r="L509" i="1"/>
  <c r="M509" i="1" s="1"/>
  <c r="L435" i="1"/>
  <c r="M435" i="1" s="1"/>
  <c r="L797" i="1"/>
  <c r="M797" i="1" s="1"/>
  <c r="L768" i="1"/>
  <c r="M768" i="1" s="1"/>
  <c r="L513" i="1"/>
  <c r="M513" i="1" s="1"/>
  <c r="L290" i="1"/>
  <c r="M290" i="1" s="1"/>
  <c r="L53" i="1"/>
  <c r="M53" i="1" s="1"/>
  <c r="L672" i="1"/>
  <c r="M672" i="1" s="1"/>
  <c r="L264" i="1"/>
  <c r="M264" i="1" s="1"/>
  <c r="L666" i="1"/>
  <c r="M666" i="1" s="1"/>
  <c r="L165" i="1"/>
  <c r="M165" i="1" s="1"/>
  <c r="L113" i="1"/>
  <c r="M113" i="1" s="1"/>
  <c r="L790" i="1"/>
  <c r="M790" i="1" s="1"/>
  <c r="L3" i="1"/>
  <c r="M3" i="1" s="1"/>
  <c r="L248" i="1"/>
  <c r="M248" i="1" s="1"/>
  <c r="L565" i="1"/>
  <c r="M565" i="1" s="1"/>
  <c r="L607" i="1"/>
  <c r="M607" i="1" s="1"/>
  <c r="L801" i="1"/>
  <c r="M801" i="1" s="1"/>
  <c r="L571" i="1"/>
  <c r="M571" i="1" s="1"/>
  <c r="L399" i="1"/>
  <c r="M399" i="1" s="1"/>
  <c r="L783" i="1"/>
  <c r="M783" i="1" s="1"/>
  <c r="L101" i="1"/>
  <c r="M101" i="1" s="1"/>
  <c r="L51" i="1"/>
  <c r="M51" i="1" s="1"/>
  <c r="L145" i="1"/>
  <c r="M145" i="1" s="1"/>
  <c r="L49" i="1"/>
  <c r="M49" i="1" s="1"/>
  <c r="L583" i="1"/>
  <c r="M583" i="1" s="1"/>
  <c r="L410" i="1"/>
  <c r="M410" i="1" s="1"/>
  <c r="L479" i="1"/>
  <c r="M479" i="1" s="1"/>
  <c r="L575" i="1"/>
  <c r="M575" i="1" s="1"/>
  <c r="L774" i="1"/>
  <c r="M774" i="1" s="1"/>
  <c r="L785" i="1"/>
  <c r="M785" i="1" s="1"/>
  <c r="L47" i="1"/>
  <c r="M47" i="1" s="1"/>
  <c r="L660" i="1"/>
  <c r="M660" i="1" s="1"/>
  <c r="L378" i="1"/>
  <c r="M378" i="1" s="1"/>
  <c r="L268" i="1"/>
  <c r="M268" i="1" s="1"/>
  <c r="L562" i="1"/>
  <c r="M562" i="1" s="1"/>
  <c r="L87" i="1"/>
  <c r="M87" i="1" s="1"/>
  <c r="L643" i="1"/>
  <c r="M643" i="1" s="1"/>
  <c r="L83" i="1"/>
  <c r="M83" i="1" s="1"/>
  <c r="L803" i="1"/>
  <c r="M803" i="1" s="1"/>
  <c r="L135" i="1"/>
  <c r="M135" i="1" s="1"/>
  <c r="L179" i="1"/>
  <c r="M179" i="1" s="1"/>
  <c r="L220" i="1"/>
  <c r="M220" i="1" s="1"/>
  <c r="L522" i="1"/>
  <c r="M522" i="1" s="1"/>
  <c r="L662" i="1"/>
  <c r="M662" i="1" s="1"/>
  <c r="L467" i="1"/>
  <c r="M467" i="1" s="1"/>
  <c r="L688" i="1"/>
  <c r="M688" i="1" s="1"/>
  <c r="L506" i="1"/>
  <c r="M506" i="1" s="1"/>
  <c r="L392" i="1"/>
  <c r="M392" i="1" s="1"/>
  <c r="L124" i="1"/>
  <c r="M124" i="1" s="1"/>
  <c r="L503" i="1"/>
  <c r="M503" i="1" s="1"/>
  <c r="L136" i="1"/>
  <c r="M136" i="1" s="1"/>
  <c r="L208" i="1"/>
  <c r="M208" i="1" s="1"/>
  <c r="L384" i="1"/>
  <c r="M384" i="1" s="1"/>
  <c r="L667" i="1"/>
  <c r="M667" i="1" s="1"/>
  <c r="L364" i="1"/>
  <c r="M364" i="1" s="1"/>
  <c r="L196" i="1"/>
  <c r="M196" i="1" s="1"/>
  <c r="L327" i="1"/>
  <c r="M327" i="1" s="1"/>
  <c r="L679" i="1"/>
  <c r="M679" i="1" s="1"/>
  <c r="L363" i="1"/>
  <c r="M363" i="1" s="1"/>
  <c r="L395" i="1"/>
  <c r="M395" i="1" s="1"/>
  <c r="L746" i="1"/>
  <c r="M746" i="1" s="1"/>
  <c r="L628" i="1"/>
  <c r="M628" i="1" s="1"/>
  <c r="L745" i="1"/>
  <c r="M745" i="1" s="1"/>
  <c r="L531" i="1"/>
  <c r="M531" i="1" s="1"/>
  <c r="L757" i="1"/>
  <c r="M757" i="1" s="1"/>
  <c r="L404" i="1"/>
  <c r="M404" i="1" s="1"/>
  <c r="L469" i="1"/>
  <c r="M469" i="1" s="1"/>
  <c r="L45" i="1"/>
  <c r="M45" i="1" s="1"/>
  <c r="L486" i="1"/>
  <c r="M486" i="1" s="1"/>
  <c r="L217" i="1"/>
  <c r="M217" i="1" s="1"/>
  <c r="L350" i="1"/>
  <c r="M350" i="1" s="1"/>
  <c r="L430" i="1"/>
  <c r="M430" i="1" s="1"/>
  <c r="L471" i="1"/>
  <c r="M471" i="1" s="1"/>
  <c r="L370" i="1"/>
  <c r="M370" i="1" s="1"/>
  <c r="L265" i="1"/>
  <c r="M265" i="1" s="1"/>
  <c r="L617" i="1"/>
  <c r="M617" i="1" s="1"/>
  <c r="L28" i="1"/>
  <c r="M28" i="1" s="1"/>
  <c r="L618" i="1"/>
  <c r="M618" i="1" s="1"/>
  <c r="L302" i="1"/>
  <c r="M302" i="1" s="1"/>
  <c r="L414" i="1"/>
  <c r="M414" i="1" s="1"/>
  <c r="L421" i="1"/>
  <c r="M421" i="1" s="1"/>
  <c r="L130" i="1"/>
  <c r="M130" i="1" s="1"/>
  <c r="L734" i="1"/>
  <c r="M734" i="1" s="1"/>
  <c r="L761" i="1"/>
  <c r="M761" i="1" s="1"/>
  <c r="L730" i="1"/>
  <c r="M730" i="1" s="1"/>
  <c r="L769" i="1"/>
  <c r="M769" i="1" s="1"/>
  <c r="L751" i="1"/>
  <c r="M751" i="1" s="1"/>
  <c r="L632" i="1"/>
  <c r="M632" i="1" s="1"/>
  <c r="L468" i="1"/>
  <c r="M468" i="1" s="1"/>
  <c r="L558" i="1"/>
  <c r="M558" i="1" s="1"/>
  <c r="L758" i="1"/>
  <c r="M758" i="1" s="1"/>
  <c r="L109" i="1"/>
  <c r="M109" i="1" s="1"/>
  <c r="L345" i="1"/>
  <c r="M345" i="1" s="1"/>
  <c r="L285" i="1"/>
  <c r="M285" i="1" s="1"/>
  <c r="L86" i="1"/>
  <c r="M86" i="1" s="1"/>
  <c r="L273" i="1"/>
  <c r="M273" i="1" s="1"/>
  <c r="L752" i="1"/>
  <c r="M752" i="1" s="1"/>
  <c r="L243" i="1"/>
  <c r="M243" i="1" s="1"/>
  <c r="L740" i="1"/>
  <c r="M740" i="1" s="1"/>
  <c r="L584" i="1"/>
  <c r="M584" i="1" s="1"/>
  <c r="L711" i="1"/>
  <c r="M711" i="1" s="1"/>
  <c r="L77" i="1"/>
  <c r="M77" i="1" s="1"/>
  <c r="L108" i="1"/>
  <c r="M108" i="1" s="1"/>
  <c r="L709" i="1"/>
  <c r="M709" i="1" s="1"/>
  <c r="L724" i="1"/>
  <c r="M724" i="1" s="1"/>
  <c r="L93" i="1"/>
  <c r="M93" i="1" s="1"/>
  <c r="L674" i="1"/>
  <c r="M674" i="1" s="1"/>
  <c r="L62" i="1"/>
  <c r="M62" i="1" s="1"/>
  <c r="L798" i="1"/>
  <c r="M798" i="1" s="1"/>
  <c r="L394" i="1"/>
  <c r="M394" i="1" s="1"/>
  <c r="L391" i="1"/>
  <c r="M391" i="1" s="1"/>
  <c r="L528" i="1"/>
  <c r="M528" i="1" s="1"/>
  <c r="L104" i="1"/>
  <c r="M104" i="1" s="1"/>
  <c r="L605" i="1"/>
  <c r="M605" i="1" s="1"/>
  <c r="L269" i="1"/>
  <c r="M269" i="1" s="1"/>
  <c r="L330" i="1"/>
  <c r="M330" i="1" s="1"/>
  <c r="L706" i="1"/>
  <c r="M706" i="1" s="1"/>
  <c r="L211" i="1"/>
  <c r="M211" i="1" s="1"/>
  <c r="L298" i="1"/>
  <c r="M298" i="1" s="1"/>
  <c r="L138" i="1"/>
  <c r="M138" i="1" s="1"/>
  <c r="L58" i="1"/>
  <c r="M58" i="1" s="1"/>
  <c r="L13" i="1"/>
  <c r="M13" i="1" s="1"/>
  <c r="L748" i="1"/>
  <c r="M748" i="1" s="1"/>
  <c r="L198" i="1"/>
  <c r="M198" i="1" s="1"/>
  <c r="L636" i="1"/>
  <c r="M636" i="1" s="1"/>
  <c r="L151" i="1"/>
  <c r="M151" i="1" s="1"/>
  <c r="L481" i="1"/>
  <c r="M481" i="1" s="1"/>
  <c r="L169" i="1"/>
  <c r="M169" i="1" s="1"/>
  <c r="L296" i="1"/>
  <c r="M296" i="1" s="1"/>
  <c r="L781" i="1"/>
  <c r="M781" i="1" s="1"/>
  <c r="L256" i="1"/>
  <c r="M256" i="1" s="1"/>
  <c r="L125" i="1"/>
  <c r="M125" i="1" s="1"/>
  <c r="L412" i="1"/>
  <c r="M412" i="1" s="1"/>
  <c r="L332" i="1"/>
  <c r="M332" i="1" s="1"/>
  <c r="L204" i="1"/>
  <c r="M204" i="1" s="1"/>
  <c r="L676" i="1"/>
  <c r="M676" i="1" s="1"/>
  <c r="L320" i="1"/>
  <c r="M320" i="1" s="1"/>
  <c r="L147" i="1"/>
  <c r="M147" i="1" s="1"/>
  <c r="L48" i="1"/>
  <c r="M48" i="1" s="1"/>
  <c r="L36" i="1"/>
  <c r="M36" i="1" s="1"/>
  <c r="L325" i="1"/>
  <c r="M325" i="1" s="1"/>
  <c r="L191" i="1"/>
  <c r="M191" i="1" s="1"/>
  <c r="L188" i="1"/>
  <c r="M188" i="1" s="1"/>
  <c r="L210" i="1"/>
  <c r="M210" i="1" s="1"/>
  <c r="L712" i="1"/>
  <c r="M712" i="1" s="1"/>
  <c r="L100" i="1"/>
  <c r="M100" i="1" s="1"/>
  <c r="L110" i="1"/>
  <c r="M110" i="1" s="1"/>
  <c r="L696" i="1"/>
  <c r="M696" i="1" s="1"/>
  <c r="L389" i="1"/>
  <c r="M389" i="1" s="1"/>
  <c r="L556" i="1"/>
  <c r="M556" i="1" s="1"/>
  <c r="L397" i="1"/>
  <c r="M397" i="1" s="1"/>
  <c r="L321" i="1"/>
  <c r="M321" i="1" s="1"/>
  <c r="L601" i="1"/>
  <c r="M601" i="1" s="1"/>
  <c r="L371" i="1"/>
  <c r="M371" i="1" s="1"/>
  <c r="L263" i="1"/>
  <c r="M263" i="1" s="1"/>
  <c r="L646" i="1"/>
  <c r="M646" i="1" s="1"/>
  <c r="L693" i="1"/>
  <c r="M693" i="1" s="1"/>
  <c r="L234" i="1"/>
  <c r="M234" i="1" s="1"/>
  <c r="L102" i="1"/>
  <c r="M102" i="1" s="1"/>
  <c r="L127" i="1"/>
  <c r="M127" i="1" s="1"/>
  <c r="L804" i="1"/>
  <c r="M804" i="1" s="1"/>
  <c r="L630" i="1"/>
  <c r="M630" i="1" s="1"/>
  <c r="L735" i="1"/>
  <c r="M735" i="1" s="1"/>
  <c r="L338" i="1"/>
  <c r="M338" i="1" s="1"/>
  <c r="L366" i="1"/>
  <c r="M366" i="1" s="1"/>
  <c r="L626" i="1"/>
  <c r="M626" i="1" s="1"/>
  <c r="L180" i="1"/>
  <c r="M180" i="1" s="1"/>
  <c r="L193" i="1"/>
  <c r="M193" i="1" s="1"/>
  <c r="L794" i="1"/>
  <c r="M794" i="1" s="1"/>
  <c r="L634" i="1"/>
  <c r="M634" i="1" s="1"/>
  <c r="L593" i="1"/>
  <c r="M593" i="1" s="1"/>
  <c r="L537" i="1"/>
  <c r="M537" i="1" s="1"/>
  <c r="L65" i="1"/>
  <c r="M65" i="1" s="1"/>
  <c r="L718" i="1"/>
  <c r="M718" i="1" s="1"/>
  <c r="L585" i="1"/>
  <c r="M585" i="1" s="1"/>
  <c r="L176" i="1"/>
  <c r="M176" i="1" s="1"/>
  <c r="L182" i="1"/>
  <c r="M182" i="1" s="1"/>
  <c r="L507" i="1"/>
  <c r="M507" i="1" s="1"/>
  <c r="L307" i="1"/>
  <c r="M307" i="1" s="1"/>
  <c r="L385" i="1"/>
  <c r="M385" i="1" s="1"/>
  <c r="L510" i="1"/>
  <c r="M510" i="1" s="1"/>
  <c r="L631" i="1"/>
  <c r="M631" i="1" s="1"/>
  <c r="L445" i="1"/>
  <c r="M445" i="1" s="1"/>
  <c r="L668" i="1"/>
  <c r="M668" i="1" s="1"/>
  <c r="L71" i="1"/>
  <c r="M71" i="1" s="1"/>
  <c r="L428" i="1"/>
  <c r="M428" i="1" s="1"/>
  <c r="L458" i="1"/>
  <c r="M458" i="1" s="1"/>
  <c r="L72" i="1"/>
  <c r="M72" i="1" s="1"/>
  <c r="L652" i="1"/>
  <c r="M652" i="1" s="1"/>
  <c r="L566" i="1"/>
  <c r="M566" i="1" s="1"/>
  <c r="L275" i="1"/>
  <c r="M275" i="1" s="1"/>
  <c r="L95" i="1"/>
  <c r="M95" i="1" s="1"/>
  <c r="L527" i="1"/>
  <c r="M527" i="1" s="1"/>
  <c r="L614" i="1"/>
  <c r="M614" i="1" s="1"/>
  <c r="L796" i="1"/>
  <c r="M796" i="1" s="1"/>
  <c r="L133" i="1"/>
  <c r="M133" i="1" s="1"/>
  <c r="L79" i="1"/>
  <c r="M79" i="1" s="1"/>
  <c r="L523" i="1"/>
  <c r="M523" i="1" s="1"/>
  <c r="L288" i="1"/>
  <c r="M288" i="1" s="1"/>
  <c r="L501" i="1"/>
  <c r="M501" i="1" s="1"/>
  <c r="L200" i="1"/>
  <c r="M200" i="1" s="1"/>
  <c r="L598" i="1"/>
  <c r="M598" i="1" s="1"/>
  <c r="L664" i="1"/>
  <c r="M664" i="1" s="1"/>
  <c r="L698" i="1"/>
  <c r="M698" i="1" s="1"/>
  <c r="L69" i="1"/>
  <c r="M69" i="1" s="1"/>
  <c r="L346" i="1"/>
  <c r="M346" i="1" s="1"/>
  <c r="L342" i="1"/>
  <c r="M342" i="1" s="1"/>
  <c r="L615" i="1"/>
  <c r="M615" i="1" s="1"/>
  <c r="L322" i="1"/>
  <c r="M322" i="1" s="1"/>
  <c r="L661" i="1"/>
  <c r="M661" i="1" s="1"/>
  <c r="L189" i="1"/>
  <c r="M189" i="1" s="1"/>
  <c r="L418" i="1"/>
  <c r="M418" i="1" s="1"/>
  <c r="L649" i="1"/>
  <c r="M649" i="1" s="1"/>
  <c r="L284" i="1"/>
  <c r="M284" i="1" s="1"/>
  <c r="L139" i="1"/>
  <c r="M139" i="1" s="1"/>
  <c r="L379" i="1"/>
  <c r="M379" i="1" s="1"/>
  <c r="L459" i="1"/>
  <c r="M459" i="1" s="1"/>
  <c r="L354" i="1"/>
  <c r="M354" i="1" s="1"/>
  <c r="L484" i="1"/>
  <c r="M484" i="1" s="1"/>
  <c r="L396" i="1"/>
  <c r="M396" i="1" s="1"/>
  <c r="L720" i="1"/>
  <c r="M720" i="1" s="1"/>
  <c r="L156" i="1"/>
  <c r="M156" i="1" s="1"/>
  <c r="L754" i="1"/>
  <c r="M754" i="1" s="1"/>
  <c r="L276" i="1"/>
  <c r="M276" i="1" s="1"/>
  <c r="L277" i="1"/>
  <c r="M277" i="1" s="1"/>
  <c r="L419" i="1"/>
  <c r="M419" i="1" s="1"/>
  <c r="L641" i="1"/>
  <c r="M641" i="1" s="1"/>
  <c r="L27" i="1"/>
  <c r="M27" i="1" s="1"/>
  <c r="L272" i="1"/>
  <c r="M272" i="1" s="1"/>
  <c r="L729" i="1"/>
  <c r="M729" i="1" s="1"/>
  <c r="L23" i="1"/>
  <c r="M23" i="1" s="1"/>
  <c r="L713" i="1"/>
  <c r="M713" i="1" s="1"/>
  <c r="L11" i="1"/>
  <c r="M11" i="1" s="1"/>
  <c r="L319" i="1"/>
  <c r="M319" i="1" s="1"/>
  <c r="L44" i="1"/>
  <c r="M44" i="1" s="1"/>
  <c r="L582" i="1"/>
  <c r="M582" i="1" s="1"/>
  <c r="L784" i="1"/>
  <c r="M784" i="1" s="1"/>
  <c r="L236" i="1"/>
  <c r="M236" i="1" s="1"/>
  <c r="L697" i="1"/>
  <c r="M697" i="1" s="1"/>
  <c r="L341" i="1"/>
  <c r="M341" i="1" s="1"/>
  <c r="L586" i="1"/>
  <c r="M586" i="1" s="1"/>
  <c r="L170" i="1"/>
  <c r="M170" i="1" s="1"/>
  <c r="L361" i="1"/>
  <c r="M361" i="1" s="1"/>
  <c r="L293" i="1"/>
  <c r="M293" i="1" s="1"/>
  <c r="L792" i="1"/>
  <c r="M792" i="1" s="1"/>
  <c r="L663" i="1"/>
  <c r="M663" i="1" s="1"/>
  <c r="L448" i="1"/>
  <c r="M448" i="1" s="1"/>
  <c r="L519" i="1"/>
  <c r="M519" i="1" s="1"/>
  <c r="L411" i="1"/>
  <c r="M411" i="1" s="1"/>
  <c r="L608" i="1"/>
  <c r="M608" i="1" s="1"/>
  <c r="L19" i="1"/>
  <c r="M19" i="1" s="1"/>
  <c r="L669" i="1"/>
  <c r="M669" i="1" s="1"/>
  <c r="L719" i="1"/>
  <c r="M719" i="1" s="1"/>
  <c r="L259" i="1"/>
  <c r="M259" i="1" s="1"/>
  <c r="L454" i="1"/>
  <c r="M454" i="1" s="1"/>
  <c r="L778" i="1"/>
  <c r="M778" i="1" s="1"/>
  <c r="L50" i="1"/>
  <c r="M50" i="1" s="1"/>
  <c r="L622" i="1"/>
  <c r="M622" i="1" s="1"/>
  <c r="L222" i="1"/>
  <c r="M222" i="1" s="1"/>
  <c r="L570" i="1"/>
  <c r="M570" i="1" s="1"/>
  <c r="L309" i="1"/>
  <c r="M309" i="1" s="1"/>
  <c r="L703" i="1"/>
  <c r="M703" i="1" s="1"/>
  <c r="L324" i="1"/>
  <c r="M324" i="1" s="1"/>
  <c r="L78" i="1"/>
  <c r="M78" i="1" s="1"/>
  <c r="L497" i="1"/>
  <c r="M497" i="1" s="1"/>
  <c r="L489" i="1"/>
  <c r="M489" i="1" s="1"/>
  <c r="L162" i="1"/>
  <c r="M162" i="1" s="1"/>
  <c r="L303" i="1"/>
  <c r="M303" i="1" s="1"/>
  <c r="L232" i="1"/>
  <c r="M232" i="1" s="1"/>
  <c r="L653" i="1"/>
  <c r="M653" i="1" s="1"/>
  <c r="L737" i="1"/>
  <c r="M737" i="1" s="1"/>
  <c r="L780" i="1"/>
  <c r="M780" i="1" s="1"/>
  <c r="L521" i="1"/>
  <c r="M521" i="1" s="1"/>
  <c r="L4" i="1"/>
  <c r="M4" i="1" s="1"/>
  <c r="L18" i="1"/>
  <c r="M18" i="1" s="1"/>
  <c r="L776" i="1"/>
  <c r="M776" i="1" s="1"/>
  <c r="L483" i="1"/>
  <c r="M483" i="1" s="1"/>
  <c r="L141" i="1"/>
  <c r="M141" i="1" s="1"/>
  <c r="L535" i="1"/>
  <c r="M535" i="1" s="1"/>
  <c r="L112" i="1"/>
  <c r="M112" i="1" s="1"/>
  <c r="L406" i="1"/>
  <c r="M406" i="1" s="1"/>
  <c r="L474" i="1"/>
  <c r="M474" i="1" s="1"/>
  <c r="L456" i="1"/>
  <c r="M456" i="1" s="1"/>
  <c r="L66" i="1"/>
  <c r="M66" i="1" s="1"/>
  <c r="L616" i="1"/>
  <c r="M616" i="1" s="1"/>
  <c r="L578" i="1"/>
  <c r="M578" i="1" s="1"/>
  <c r="L574" i="1"/>
  <c r="M574" i="1" s="1"/>
  <c r="L749" i="1"/>
  <c r="M749" i="1" s="1"/>
  <c r="L760" i="1"/>
  <c r="M760" i="1" s="1"/>
  <c r="L214" i="1"/>
  <c r="M214" i="1" s="1"/>
  <c r="L707" i="1"/>
  <c r="M707" i="1" s="1"/>
  <c r="L755" i="1"/>
  <c r="M755" i="1" s="1"/>
  <c r="L427" i="1"/>
  <c r="M427" i="1" s="1"/>
  <c r="L21" i="1"/>
  <c r="M21" i="1" s="1"/>
  <c r="L772" i="1"/>
  <c r="M772" i="1" s="1"/>
  <c r="L8" i="1"/>
  <c r="M8" i="1" s="1"/>
  <c r="L122" i="1"/>
  <c r="M122" i="1" s="1"/>
  <c r="L651" i="1"/>
  <c r="M651" i="1" s="1"/>
  <c r="L788" i="1"/>
  <c r="M788" i="1" s="1"/>
  <c r="L446" i="1"/>
  <c r="M446" i="1" s="1"/>
  <c r="L206" i="1"/>
  <c r="M206" i="1" s="1"/>
  <c r="L802" i="1"/>
  <c r="M802" i="1" s="1"/>
  <c r="L192" i="1"/>
  <c r="M192" i="1" s="1"/>
  <c r="L505" i="1"/>
  <c r="M505" i="1" s="1"/>
  <c r="L126" i="1"/>
  <c r="M126" i="1" s="1"/>
  <c r="L357" i="1"/>
  <c r="M357" i="1" s="1"/>
  <c r="L56" i="1"/>
  <c r="M56" i="1" s="1"/>
  <c r="L118" i="1"/>
  <c r="M118" i="1" s="1"/>
  <c r="L33" i="1"/>
  <c r="M33" i="1" s="1"/>
  <c r="L174" i="1"/>
  <c r="M174" i="1" s="1"/>
  <c r="L313" i="1"/>
  <c r="M313" i="1" s="1"/>
  <c r="L800" i="1"/>
  <c r="M800" i="1" s="1"/>
  <c r="L511" i="1"/>
  <c r="M511" i="1" s="1"/>
  <c r="L202" i="1"/>
  <c r="M202" i="1" s="1"/>
  <c r="L568" i="1"/>
  <c r="M568" i="1" s="1"/>
  <c r="L592" i="1"/>
  <c r="M592" i="1" s="1"/>
  <c r="L246" i="1"/>
  <c r="M246" i="1" s="1"/>
  <c r="L689" i="1"/>
  <c r="M689" i="1" s="1"/>
  <c r="L620" i="1"/>
  <c r="M620" i="1" s="1"/>
  <c r="L297" i="1"/>
  <c r="M297" i="1" s="1"/>
  <c r="L383" i="1"/>
  <c r="M383" i="1" s="1"/>
  <c r="L402" i="1"/>
  <c r="M402" i="1" s="1"/>
  <c r="L731" i="1"/>
  <c r="M731" i="1" s="1"/>
  <c r="L238" i="1"/>
  <c r="M238" i="1" s="1"/>
  <c r="L150" i="1"/>
  <c r="M150" i="1" s="1"/>
  <c r="L22" i="1"/>
  <c r="M22" i="1" s="1"/>
  <c r="L365" i="1"/>
  <c r="M365" i="1" s="1"/>
  <c r="L24" i="1"/>
  <c r="M24" i="1" s="1"/>
  <c r="L633" i="1"/>
  <c r="M633" i="1" s="1"/>
  <c r="L373" i="1"/>
  <c r="M373" i="1" s="1"/>
  <c r="L301" i="1"/>
  <c r="M301" i="1" s="1"/>
  <c r="L675" i="1"/>
  <c r="M675" i="1" s="1"/>
  <c r="L52" i="1"/>
  <c r="M52" i="1" s="1"/>
  <c r="L472" i="1"/>
  <c r="M472" i="1" s="1"/>
  <c r="L152" i="1"/>
  <c r="M152" i="1" s="1"/>
  <c r="L470" i="1"/>
  <c r="M470" i="1" s="1"/>
  <c r="L29" i="1"/>
  <c r="M29" i="1" s="1"/>
  <c r="L274" i="1"/>
  <c r="M274" i="1" s="1"/>
  <c r="L80" i="1"/>
  <c r="M80" i="1" s="1"/>
  <c r="L645" i="1"/>
  <c r="M645" i="1" s="1"/>
  <c r="L261" i="1"/>
  <c r="M261" i="1" s="1"/>
  <c r="L687" i="1"/>
  <c r="M687" i="1" s="1"/>
  <c r="L6" i="1"/>
  <c r="M6" i="1" s="1"/>
  <c r="L311" i="1"/>
  <c r="M311" i="1" s="1"/>
  <c r="L353" i="1"/>
  <c r="M353" i="1" s="1"/>
  <c r="L439" i="1"/>
  <c r="M439" i="1" s="1"/>
  <c r="L487" i="1"/>
  <c r="M487" i="1" s="1"/>
  <c r="L600" i="1"/>
  <c r="M600" i="1" s="1"/>
  <c r="L602" i="1"/>
  <c r="M602" i="1" s="1"/>
  <c r="L655" i="1"/>
  <c r="M655" i="1" s="1"/>
  <c r="L543" i="1"/>
  <c r="M543" i="1" s="1"/>
  <c r="L639" i="1"/>
  <c r="M639" i="1" s="1"/>
  <c r="L114" i="1"/>
  <c r="M114" i="1" s="1"/>
  <c r="L491" i="1"/>
  <c r="M491" i="1" s="1"/>
  <c r="L517" i="1"/>
  <c r="M517" i="1" s="1"/>
  <c r="L343" i="1"/>
  <c r="M343" i="1" s="1"/>
  <c r="L413" i="1"/>
  <c r="M413" i="1" s="1"/>
  <c r="L717" i="1"/>
  <c r="M717" i="1" s="1"/>
  <c r="L560" i="1"/>
  <c r="M560" i="1" s="1"/>
  <c r="L466" i="1"/>
  <c r="M466" i="1" s="1"/>
  <c r="L244" i="1"/>
  <c r="M244" i="1" s="1"/>
  <c r="L554" i="1"/>
  <c r="M554" i="1" s="1"/>
  <c r="L39" i="1"/>
  <c r="M39" i="1" s="1"/>
  <c r="L15" i="1"/>
  <c r="M15" i="1" s="1"/>
  <c r="L70" i="1"/>
  <c r="M70" i="1" s="1"/>
  <c r="L548" i="1"/>
  <c r="M548" i="1" s="1"/>
  <c r="L721" i="1"/>
  <c r="M721" i="1" s="1"/>
  <c r="L143" i="1"/>
  <c r="M143" i="1" s="1"/>
  <c r="L743" i="1"/>
  <c r="M743" i="1" s="1"/>
  <c r="L782" i="1"/>
  <c r="M782" i="1" s="1"/>
  <c r="L533" i="1"/>
  <c r="M533" i="1" s="1"/>
  <c r="L606" i="1"/>
  <c r="M606" i="1" s="1"/>
  <c r="L240" i="1"/>
  <c r="M240" i="1" s="1"/>
  <c r="L576" i="1"/>
  <c r="M576" i="1" s="1"/>
  <c r="L184" i="1"/>
  <c r="M184" i="1" s="1"/>
  <c r="L347" i="1"/>
  <c r="M347" i="1" s="1"/>
  <c r="L766" i="1"/>
  <c r="M766" i="1" s="1"/>
  <c r="L739" i="1"/>
  <c r="M739" i="1" s="1"/>
  <c r="L160" i="1"/>
  <c r="M160" i="1" s="1"/>
  <c r="L299" i="1"/>
  <c r="M299" i="1" s="1"/>
  <c r="L54" i="1"/>
  <c r="M54" i="1" s="1"/>
  <c r="L186" i="1"/>
  <c r="M186" i="1" s="1"/>
  <c r="L74" i="1"/>
  <c r="M74" i="1" s="1"/>
  <c r="L230" i="1"/>
  <c r="M230" i="1" s="1"/>
  <c r="L337" i="1"/>
  <c r="M337" i="1" s="1"/>
  <c r="L355" i="1"/>
  <c r="M355" i="1" s="1"/>
  <c r="L705" i="1"/>
  <c r="M705" i="1" s="1"/>
  <c r="L552" i="1"/>
  <c r="M552" i="1" s="1"/>
  <c r="L741" i="1"/>
  <c r="M741" i="1" s="1"/>
  <c r="L594" i="1"/>
  <c r="M594" i="1" s="1"/>
  <c r="L495" i="1"/>
  <c r="M495" i="1" s="1"/>
  <c r="L691" i="1"/>
  <c r="M691" i="1" s="1"/>
  <c r="L68" i="1"/>
  <c r="M68" i="1" s="1"/>
  <c r="L493" i="1"/>
  <c r="M493" i="1" s="1"/>
  <c r="L515" i="1"/>
  <c r="M515" i="1" s="1"/>
  <c r="L635" i="1"/>
  <c r="M635" i="1" s="1"/>
  <c r="L172" i="1"/>
  <c r="M172" i="1" s="1"/>
  <c r="L588" i="1"/>
  <c r="M588" i="1" s="1"/>
  <c r="L431" i="1"/>
  <c r="M431" i="1" s="1"/>
  <c r="L460" i="1"/>
  <c r="M460" i="1" s="1"/>
  <c r="L178" i="1"/>
  <c r="M178" i="1" s="1"/>
  <c r="L677" i="1"/>
  <c r="M677" i="1" s="1"/>
  <c r="L464" i="1"/>
  <c r="M464" i="1" s="1"/>
  <c r="L257" i="1"/>
  <c r="M257" i="1" s="1"/>
  <c r="L499" i="1"/>
  <c r="M499" i="1" s="1"/>
  <c r="L270" i="1"/>
  <c r="M270" i="1" s="1"/>
  <c r="L335" i="1"/>
  <c r="M335" i="1" s="1"/>
  <c r="L525" i="1"/>
  <c r="M525" i="1" s="1"/>
  <c r="L387" i="1"/>
  <c r="M387" i="1" s="1"/>
  <c r="L35" i="1"/>
  <c r="M35" i="1" s="1"/>
  <c r="L443" i="1"/>
  <c r="M443" i="1" s="1"/>
  <c r="L452" i="1"/>
  <c r="M452" i="1" s="1"/>
  <c r="L786" i="1"/>
  <c r="M786" i="1" s="1"/>
  <c r="L450" i="1"/>
  <c r="M450" i="1" s="1"/>
  <c r="L477" i="1"/>
  <c r="M477" i="1" s="1"/>
  <c r="L339" i="1"/>
  <c r="M339" i="1" s="1"/>
  <c r="L137" i="1"/>
  <c r="M137" i="1" s="1"/>
  <c r="L612" i="1"/>
  <c r="M612" i="1" s="1"/>
  <c r="L106" i="1"/>
  <c r="M106" i="1" s="1"/>
  <c r="L604" i="1"/>
  <c r="M604" i="1" s="1"/>
  <c r="L747" i="1"/>
  <c r="M747" i="1" s="1"/>
  <c r="L226" i="1"/>
  <c r="M226" i="1" s="1"/>
  <c r="L252" i="1"/>
  <c r="M252" i="1" s="1"/>
  <c r="L657" i="1"/>
  <c r="M657" i="1" s="1"/>
  <c r="L367" i="1"/>
  <c r="M367" i="1" s="1"/>
  <c r="L564" i="1"/>
  <c r="M564" i="1" s="1"/>
  <c r="L723" i="1"/>
  <c r="M723" i="1" s="1"/>
  <c r="L647" i="1"/>
  <c r="M647" i="1" s="1"/>
  <c r="L88" i="1"/>
  <c r="M88" i="1" s="1"/>
  <c r="L764" i="1"/>
  <c r="M764" i="1" s="1"/>
  <c r="L681" i="1"/>
  <c r="M681" i="1" s="1"/>
  <c r="L417" i="1"/>
  <c r="M417" i="1" s="1"/>
  <c r="L92" i="1"/>
  <c r="M92" i="1" s="1"/>
  <c r="L610" i="1"/>
  <c r="M610" i="1" s="1"/>
  <c r="L665" i="1"/>
  <c r="M665" i="1" s="1"/>
  <c r="L194" i="1"/>
  <c r="M194" i="1" s="1"/>
  <c r="L120" i="1"/>
  <c r="M120" i="1" s="1"/>
  <c r="L550" i="1"/>
  <c r="M550" i="1" s="1"/>
  <c r="L733" i="1"/>
  <c r="M733" i="1" s="1"/>
  <c r="L166" i="1"/>
  <c r="M166" i="1" s="1"/>
  <c r="L695" i="1"/>
  <c r="M695" i="1" s="1"/>
  <c r="L224" i="1"/>
  <c r="M224" i="1" s="1"/>
  <c r="L415" i="1"/>
  <c r="M415" i="1" s="1"/>
  <c r="L168" i="1"/>
  <c r="M168" i="1" s="1"/>
  <c r="L286" i="1"/>
  <c r="M286" i="1" s="1"/>
  <c r="L212" i="1"/>
  <c r="M212" i="1" s="1"/>
  <c r="L216" i="1"/>
  <c r="M216" i="1" s="1"/>
  <c r="L429" i="1"/>
  <c r="M429" i="1" s="1"/>
  <c r="L462" i="1"/>
  <c r="M462" i="1" s="1"/>
  <c r="L725" i="1"/>
  <c r="M725" i="1" s="1"/>
  <c r="L84" i="1"/>
  <c r="M84" i="1" s="1"/>
  <c r="L408" i="1"/>
  <c r="M408" i="1" s="1"/>
  <c r="L753" i="1"/>
  <c r="M753" i="1" s="1"/>
  <c r="L398" i="1"/>
  <c r="M398" i="1" s="1"/>
  <c r="L333" i="1"/>
  <c r="M333" i="1" s="1"/>
  <c r="L131" i="1"/>
  <c r="M131" i="1" s="1"/>
  <c r="L369" i="1"/>
  <c r="M369" i="1" s="1"/>
  <c r="L280" i="1"/>
  <c r="M280" i="1" s="1"/>
  <c r="L315" i="1"/>
  <c r="M315" i="1" s="1"/>
  <c r="L349" i="1"/>
  <c r="M349" i="1" s="1"/>
  <c r="L46" i="1"/>
  <c r="M46" i="1" s="1"/>
  <c r="L96" i="1"/>
  <c r="M96" i="1" s="1"/>
  <c r="L590" i="1"/>
  <c r="M590" i="1" s="1"/>
  <c r="L250" i="1"/>
  <c r="M250" i="1" s="1"/>
  <c r="L683" i="1"/>
  <c r="M683" i="1" s="1"/>
  <c r="L572" i="1"/>
  <c r="M572" i="1" s="1"/>
  <c r="L116" i="1"/>
  <c r="M116" i="1" s="1"/>
  <c r="L351" i="1"/>
  <c r="M351" i="1" s="1"/>
  <c r="L400" i="1"/>
  <c r="M400" i="1" s="1"/>
  <c r="L98" i="1"/>
  <c r="M98" i="1" s="1"/>
  <c r="L128" i="1"/>
  <c r="M128" i="1" s="1"/>
  <c r="L218" i="1"/>
  <c r="M218" i="1" s="1"/>
  <c r="L699" i="1"/>
  <c r="M699" i="1" s="1"/>
  <c r="L441" i="1"/>
  <c r="M441" i="1" s="1"/>
  <c r="L164" i="1"/>
  <c r="M164" i="1" s="1"/>
  <c r="L529" i="1"/>
  <c r="M529" i="1" s="1"/>
  <c r="L60" i="1"/>
  <c r="M60" i="1" s="1"/>
  <c r="L762" i="1"/>
  <c r="M762" i="1" s="1"/>
  <c r="L42" i="1"/>
  <c r="M42" i="1" s="1"/>
  <c r="L375" i="1"/>
  <c r="M375" i="1" s="1"/>
  <c r="L37" i="1"/>
  <c r="M37" i="1" s="1"/>
  <c r="L770" i="1"/>
  <c r="M770" i="1" s="1"/>
  <c r="L701" i="1"/>
  <c r="M701" i="1" s="1"/>
  <c r="L16" i="1"/>
  <c r="M16" i="1" s="1"/>
  <c r="L659" i="1"/>
  <c r="M659" i="1" s="1"/>
  <c r="L331" i="1"/>
  <c r="M331" i="1" s="1"/>
  <c r="L715" i="1"/>
  <c r="M715" i="1" s="1"/>
  <c r="L328" i="1"/>
  <c r="M328" i="1" s="1"/>
  <c r="L673" i="1"/>
  <c r="M673" i="1" s="1"/>
  <c r="L64" i="1"/>
  <c r="M64" i="1" s="1"/>
  <c r="L278" i="1"/>
  <c r="M278" i="1" s="1"/>
  <c r="L580" i="1"/>
  <c r="M580" i="1" s="1"/>
  <c r="L158" i="1"/>
  <c r="M158" i="1" s="1"/>
  <c r="L637" i="1"/>
  <c r="M637" i="1" s="1"/>
  <c r="L326" i="1"/>
  <c r="M326" i="1" s="1"/>
  <c r="L31" i="1"/>
  <c r="M31" i="1" s="1"/>
  <c r="L10" i="1"/>
  <c r="M10" i="1" s="1"/>
  <c r="L94" i="1"/>
  <c r="M94" i="1" s="1"/>
  <c r="L541" i="1"/>
  <c r="M541" i="1" s="1"/>
  <c r="L190" i="1"/>
  <c r="M190" i="1" s="1"/>
  <c r="L485" i="1"/>
  <c r="M485" i="1" s="1"/>
  <c r="Y6" i="8"/>
  <c r="R11" i="8"/>
  <c r="V19" i="8"/>
  <c r="R13" i="8"/>
  <c r="X9" i="8"/>
  <c r="R12" i="8"/>
  <c r="V20" i="8"/>
  <c r="N19" i="8"/>
  <c r="N17" i="8"/>
  <c r="N20" i="8"/>
  <c r="N18" i="8"/>
  <c r="C11" i="8"/>
  <c r="C10" i="8"/>
  <c r="N21" i="8" l="1"/>
  <c r="O20" i="8" s="1"/>
  <c r="S11" i="8"/>
  <c r="S12" i="8"/>
  <c r="S13" i="8"/>
  <c r="Y9" i="8"/>
  <c r="C12" i="8"/>
  <c r="D10" i="8" s="1"/>
  <c r="V23" i="8"/>
  <c r="V24" i="8"/>
  <c r="V26" i="8"/>
  <c r="V22" i="8"/>
  <c r="V21" i="8"/>
  <c r="V25" i="8"/>
  <c r="O19" i="8" l="1"/>
  <c r="O17" i="8"/>
  <c r="O18" i="8"/>
  <c r="D11" i="8"/>
</calcChain>
</file>

<file path=xl/sharedStrings.xml><?xml version="1.0" encoding="utf-8"?>
<sst xmlns="http://schemas.openxmlformats.org/spreadsheetml/2006/main" count="5721" uniqueCount="477">
  <si>
    <t>CPF</t>
  </si>
  <si>
    <t>Nome</t>
  </si>
  <si>
    <t>Gênero</t>
  </si>
  <si>
    <t>Nivel de Estudos</t>
  </si>
  <si>
    <t>Interesse/Hobbie</t>
  </si>
  <si>
    <t>Região</t>
  </si>
  <si>
    <t>Data Nascimento</t>
  </si>
  <si>
    <t>Avaliação</t>
  </si>
  <si>
    <t>Assinatura</t>
  </si>
  <si>
    <t>Mesalidades</t>
  </si>
  <si>
    <t>Idade</t>
  </si>
  <si>
    <t>Faixa etária</t>
  </si>
  <si>
    <t>Amanda Oliveira</t>
  </si>
  <si>
    <t>Feminino</t>
  </si>
  <si>
    <t>Doutorado</t>
  </si>
  <si>
    <t>Negócios</t>
  </si>
  <si>
    <t>Rio Grande do Sul</t>
  </si>
  <si>
    <t>Produto Excelente</t>
  </si>
  <si>
    <t>Magic Box</t>
  </si>
  <si>
    <t>Atendimento Bom</t>
  </si>
  <si>
    <t>Carolina Gomes Rodrigues</t>
  </si>
  <si>
    <t>Atraso na Entrega</t>
  </si>
  <si>
    <t>Faixa Etária</t>
  </si>
  <si>
    <t>Guadalupe Munoz</t>
  </si>
  <si>
    <t>Suporte Ruim</t>
  </si>
  <si>
    <t>24-34</t>
  </si>
  <si>
    <t>35 - 44</t>
  </si>
  <si>
    <t>44 - 54</t>
  </si>
  <si>
    <t>54-70</t>
  </si>
  <si>
    <t>Julian Russell</t>
  </si>
  <si>
    <t>Laura Ribeiro</t>
  </si>
  <si>
    <t>Política</t>
  </si>
  <si>
    <t>Paraná</t>
  </si>
  <si>
    <t>Premium X</t>
  </si>
  <si>
    <t>Renata Pereira</t>
  </si>
  <si>
    <t>Rita Pereira</t>
  </si>
  <si>
    <t>Boa qualidade</t>
  </si>
  <si>
    <t>Sandra Silva</t>
  </si>
  <si>
    <t>Economia</t>
  </si>
  <si>
    <t>Sofia Velez</t>
  </si>
  <si>
    <t>Finanças</t>
  </si>
  <si>
    <t>Safe Watch</t>
  </si>
  <si>
    <t>Bernardo Oliveira</t>
  </si>
  <si>
    <t>Masculino</t>
  </si>
  <si>
    <t>Deluxe Box</t>
  </si>
  <si>
    <t>Diego Ramirez</t>
  </si>
  <si>
    <t>Faltando Item</t>
  </si>
  <si>
    <t>Francisco Chavez</t>
  </si>
  <si>
    <t>Francisco Morales</t>
  </si>
  <si>
    <t>Harper Reed</t>
  </si>
  <si>
    <t>Henry Adams</t>
  </si>
  <si>
    <t>Rafael Almeida</t>
  </si>
  <si>
    <t>Santa Catarina</t>
  </si>
  <si>
    <t>Rafael Rodrigues</t>
  </si>
  <si>
    <t>Produto com defeito</t>
  </si>
  <si>
    <t>Alejandra Herrera</t>
  </si>
  <si>
    <t>Ensino Médio</t>
  </si>
  <si>
    <t>Alejandra Ortega</t>
  </si>
  <si>
    <t>Alejandra Valdez</t>
  </si>
  <si>
    <t>Agronegócio</t>
  </si>
  <si>
    <t>Amanda Costa Almeida</t>
  </si>
  <si>
    <t>Amelia Garcia</t>
  </si>
  <si>
    <t>Esportes</t>
  </si>
  <si>
    <t>Ana Karen Pacheco</t>
  </si>
  <si>
    <t>Ava Davis</t>
  </si>
  <si>
    <t>Beatriz Delgado</t>
  </si>
  <si>
    <t>Camila Oliveira</t>
  </si>
  <si>
    <t>Carolina Gomes</t>
  </si>
  <si>
    <t>Carolina Lima</t>
  </si>
  <si>
    <t>Claire Long</t>
  </si>
  <si>
    <t>Connor Wood</t>
  </si>
  <si>
    <t>Diana Lopez</t>
  </si>
  <si>
    <t>Embalagem Danificada</t>
  </si>
  <si>
    <t>Eliza Hayes</t>
  </si>
  <si>
    <t>Eva Foster</t>
  </si>
  <si>
    <t>Eva Powell</t>
  </si>
  <si>
    <t>Fabiana Oliveira</t>
  </si>
  <si>
    <t>Giovanna Oliveira Martins</t>
  </si>
  <si>
    <t>Isabella Gonzalez</t>
  </si>
  <si>
    <t>Júlia Martins</t>
  </si>
  <si>
    <t>Juliana Santos</t>
  </si>
  <si>
    <t>Laura Miranda</t>
  </si>
  <si>
    <t>Lily Cooper</t>
  </si>
  <si>
    <t>Lorena Paredes</t>
  </si>
  <si>
    <t>Maria Alencar</t>
  </si>
  <si>
    <t>Maria das Graças Silva</t>
  </si>
  <si>
    <t>Maria Santos</t>
  </si>
  <si>
    <t>Mariana Fernandes</t>
  </si>
  <si>
    <t>Mariana Gomes</t>
  </si>
  <si>
    <t>Mariana Rodrigues</t>
  </si>
  <si>
    <t>Mariana Santos</t>
  </si>
  <si>
    <t>Mariana Souza</t>
  </si>
  <si>
    <t>Marisol Ponce</t>
  </si>
  <si>
    <t>Mason Anderson</t>
  </si>
  <si>
    <t>Mayra Escobar</t>
  </si>
  <si>
    <t>Natalia Jimenez</t>
  </si>
  <si>
    <t>Patricia Fuentes</t>
  </si>
  <si>
    <t>Paulo Lima</t>
  </si>
  <si>
    <t>Renata Costa</t>
  </si>
  <si>
    <t>Renata Gomes</t>
  </si>
  <si>
    <t>Renata Oliveira</t>
  </si>
  <si>
    <t>Rita Costa</t>
  </si>
  <si>
    <t>Rita Gomes</t>
  </si>
  <si>
    <t>Rita Santos</t>
  </si>
  <si>
    <t>Samantha Price</t>
  </si>
  <si>
    <t>Sandra Costa</t>
  </si>
  <si>
    <t>Sandra Martins</t>
  </si>
  <si>
    <t>Sandra Pereira</t>
  </si>
  <si>
    <t>Sergio Camacho</t>
  </si>
  <si>
    <t>Sofia King</t>
  </si>
  <si>
    <t>Stella Ross</t>
  </si>
  <si>
    <t>Vanessa Costa</t>
  </si>
  <si>
    <t>Vanessa Sosa</t>
  </si>
  <si>
    <t>Vilma Costa</t>
  </si>
  <si>
    <t>Vilma Gomes</t>
  </si>
  <si>
    <t>Vilma Pereira</t>
  </si>
  <si>
    <t>Vilma Santos</t>
  </si>
  <si>
    <t>Abigail Clark</t>
  </si>
  <si>
    <t>Adrian Brooks</t>
  </si>
  <si>
    <t>Alexander Lewis</t>
  </si>
  <si>
    <t>André Lima</t>
  </si>
  <si>
    <t>Antônio Silva</t>
  </si>
  <si>
    <t>Benjamin Moore</t>
  </si>
  <si>
    <t>Benjamin Vasquez</t>
  </si>
  <si>
    <t>Bernardo Fernandes</t>
  </si>
  <si>
    <t>Bernardo Pereira</t>
  </si>
  <si>
    <t>Bernardo Silva</t>
  </si>
  <si>
    <t>Bruno Martins</t>
  </si>
  <si>
    <t>Bruno Rodrigues</t>
  </si>
  <si>
    <t>Bruno Santos</t>
  </si>
  <si>
    <t>Carlos Alberto Garcia</t>
  </si>
  <si>
    <t>Christian Bennett</t>
  </si>
  <si>
    <t>Daniel Contreras</t>
  </si>
  <si>
    <t>Daniel Santos</t>
  </si>
  <si>
    <t>Emerson Martins</t>
  </si>
  <si>
    <t>Emerson Pereira</t>
  </si>
  <si>
    <t>Felipe Pereira</t>
  </si>
  <si>
    <t>Guillermo Soto</t>
  </si>
  <si>
    <t>Hector Aguilar</t>
  </si>
  <si>
    <t>Hunter Sullivan</t>
  </si>
  <si>
    <t>Isaac Henderson</t>
  </si>
  <si>
    <t>Jesus Manuel Jimenez</t>
  </si>
  <si>
    <t>John Cook</t>
  </si>
  <si>
    <t>Jorge Hernandez</t>
  </si>
  <si>
    <t>Jorge Vazquez</t>
  </si>
  <si>
    <t>José Alves</t>
  </si>
  <si>
    <t>Jose Flores</t>
  </si>
  <si>
    <t>José Martins</t>
  </si>
  <si>
    <t>José Rodrigues</t>
  </si>
  <si>
    <t>Juan Carlos Espinoza</t>
  </si>
  <si>
    <t>Juan Hernandez</t>
  </si>
  <si>
    <t>Liam Williams</t>
  </si>
  <si>
    <t>Lucas Oliveira</t>
  </si>
  <si>
    <t>Marcelo Gomes</t>
  </si>
  <si>
    <t>Marcelo Martins</t>
  </si>
  <si>
    <t>Mario Aguilar</t>
  </si>
  <si>
    <t>Matheus Almeida Santos</t>
  </si>
  <si>
    <t>Matthew Ward</t>
  </si>
  <si>
    <t>Michael Hall</t>
  </si>
  <si>
    <t>Nathan Bennett</t>
  </si>
  <si>
    <t>Paisley King</t>
  </si>
  <si>
    <t>Pedro Costa</t>
  </si>
  <si>
    <t>Pedro Martins</t>
  </si>
  <si>
    <t>Pedro Rodrigues</t>
  </si>
  <si>
    <t>Pedro Santos</t>
  </si>
  <si>
    <t>Rafael Ferreira Lima</t>
  </si>
  <si>
    <t>Rafael Pereira</t>
  </si>
  <si>
    <t>Rafael Santos</t>
  </si>
  <si>
    <t>Robert Watson</t>
  </si>
  <si>
    <t>Rodrigo Torres</t>
  </si>
  <si>
    <t>Rosa Molina</t>
  </si>
  <si>
    <t>Ryan Foster</t>
  </si>
  <si>
    <t>Samuel Nelson</t>
  </si>
  <si>
    <t>Thomas Barnes</t>
  </si>
  <si>
    <t>Victor Maldonado</t>
  </si>
  <si>
    <t>William Fernandes</t>
  </si>
  <si>
    <t>William Gomes</t>
  </si>
  <si>
    <t>William Rodrigues</t>
  </si>
  <si>
    <t>Zachary Simmons</t>
  </si>
  <si>
    <t>Zoey Ramirez</t>
  </si>
  <si>
    <t>Mestrado</t>
  </si>
  <si>
    <t>Ana Ruiz</t>
  </si>
  <si>
    <t>Avery Roberts</t>
  </si>
  <si>
    <t>Beatriz Ramos</t>
  </si>
  <si>
    <t>Débora Martins</t>
  </si>
  <si>
    <t>Gabriela Torres</t>
  </si>
  <si>
    <t>Giovanna Oliveira</t>
  </si>
  <si>
    <t>Laura Ribeiro Lima</t>
  </si>
  <si>
    <t>Lorena Chavez</t>
  </si>
  <si>
    <t>Maria Fernanda Guerra</t>
  </si>
  <si>
    <t>Sandra Oliveira</t>
  </si>
  <si>
    <t>Skylar Turner</t>
  </si>
  <si>
    <t>Aaron Perry</t>
  </si>
  <si>
    <t>Ana Silva</t>
  </si>
  <si>
    <t>Bernardo Almeida</t>
  </si>
  <si>
    <t>David Carter</t>
  </si>
  <si>
    <t>Dylan Bell</t>
  </si>
  <si>
    <t>Emerson Costa</t>
  </si>
  <si>
    <t>Emerson Oliveira</t>
  </si>
  <si>
    <t>Ethan White</t>
  </si>
  <si>
    <t>José da Silva</t>
  </si>
  <si>
    <t>José Oliveira</t>
  </si>
  <si>
    <t>Luis Reyes</t>
  </si>
  <si>
    <t>Marcelo Oliveira</t>
  </si>
  <si>
    <t>Marcelo Rodrigues</t>
  </si>
  <si>
    <t>Nicholas Foster</t>
  </si>
  <si>
    <t>Pedro Almeida</t>
  </si>
  <si>
    <t>Pedro Pereira</t>
  </si>
  <si>
    <t>Rafael Gomes</t>
  </si>
  <si>
    <t>Ramon Flores</t>
  </si>
  <si>
    <t>Roberto Fuentes</t>
  </si>
  <si>
    <t>Rodrigo Mora</t>
  </si>
  <si>
    <t>William Silva</t>
  </si>
  <si>
    <t>Adriana Rojas</t>
  </si>
  <si>
    <t>Pós-Graduação</t>
  </si>
  <si>
    <t>Ana Pereira</t>
  </si>
  <si>
    <t>Angelica Ibarra</t>
  </si>
  <si>
    <t>Audrey Brooks</t>
  </si>
  <si>
    <t>Beatriz Castro</t>
  </si>
  <si>
    <t>Carmen Guzman</t>
  </si>
  <si>
    <t>Cecilia Morales</t>
  </si>
  <si>
    <t>Clara Almeida</t>
  </si>
  <si>
    <t>Elena Morales</t>
  </si>
  <si>
    <t>Eliana Ramirez</t>
  </si>
  <si>
    <t>Elijah Hernandez</t>
  </si>
  <si>
    <t>Elizabeth Young</t>
  </si>
  <si>
    <t>Estefania Velasco</t>
  </si>
  <si>
    <t>Fernanda Gomes</t>
  </si>
  <si>
    <t>Fernanda Roman</t>
  </si>
  <si>
    <t>Isabela Martins</t>
  </si>
  <si>
    <t>Layla Torres</t>
  </si>
  <si>
    <t>Letícia Gomes</t>
  </si>
  <si>
    <t>Levi Sanders</t>
  </si>
  <si>
    <t>Maria Vargas</t>
  </si>
  <si>
    <t>Mariana Almeida</t>
  </si>
  <si>
    <t>Mariana Pereira</t>
  </si>
  <si>
    <t>Mariana Souza Oliveira</t>
  </si>
  <si>
    <t>Olivia Brown</t>
  </si>
  <si>
    <t>Renata Rodrigues</t>
  </si>
  <si>
    <t>Renata Silva</t>
  </si>
  <si>
    <t>Rita Rodrigues</t>
  </si>
  <si>
    <t>Rita Silva</t>
  </si>
  <si>
    <t>Sandra Rodrigues</t>
  </si>
  <si>
    <t>Silvia Navarro</t>
  </si>
  <si>
    <t>Valentina Rodriguez</t>
  </si>
  <si>
    <t>Vilma Rodrigues</t>
  </si>
  <si>
    <t>Vilma Silva</t>
  </si>
  <si>
    <t>Antonio Pacheco</t>
  </si>
  <si>
    <t>Arturo Leon</t>
  </si>
  <si>
    <t>Autumn Brooks</t>
  </si>
  <si>
    <t>Bernardo Costa</t>
  </si>
  <si>
    <t>Bruno Almeida</t>
  </si>
  <si>
    <t>Bruno Oliveira</t>
  </si>
  <si>
    <t>Bruno Pereira</t>
  </si>
  <si>
    <t>Caleb Reed</t>
  </si>
  <si>
    <t>Carlos Ferreira</t>
  </si>
  <si>
    <t>Daniel Baker</t>
  </si>
  <si>
    <t>Daniel Santos Gomes</t>
  </si>
  <si>
    <t>Eduardo Medina</t>
  </si>
  <si>
    <t>Emerson Rodrigues</t>
  </si>
  <si>
    <t>Emerson Silva</t>
  </si>
  <si>
    <t>Felipe Alves</t>
  </si>
  <si>
    <t>Felipe Costa</t>
  </si>
  <si>
    <t>Fernando Ferreira</t>
  </si>
  <si>
    <t>Gabriel Evans</t>
  </si>
  <si>
    <t>Gabriela Mendoza</t>
  </si>
  <si>
    <t>Gustavo Neves</t>
  </si>
  <si>
    <t>Harper Martinez</t>
  </si>
  <si>
    <t>Javier Diaz</t>
  </si>
  <si>
    <t>Javier Peralta</t>
  </si>
  <si>
    <t>Jordan Hayes</t>
  </si>
  <si>
    <t>José Gomes</t>
  </si>
  <si>
    <t>José Santos</t>
  </si>
  <si>
    <t>Joshua Reed</t>
  </si>
  <si>
    <t>Lincoln Hughes</t>
  </si>
  <si>
    <t>Lucas Miller</t>
  </si>
  <si>
    <t>Marcelo Almeida</t>
  </si>
  <si>
    <t>Marcelo Fernandes</t>
  </si>
  <si>
    <t>Miguel Perez</t>
  </si>
  <si>
    <t>Oscar Cisneros</t>
  </si>
  <si>
    <t>Oscar Ruiz</t>
  </si>
  <si>
    <t>Pedro Oliveira</t>
  </si>
  <si>
    <t>Pedro Rodrigues Martins</t>
  </si>
  <si>
    <t>Rafael Silva</t>
  </si>
  <si>
    <t>Ruby Perry</t>
  </si>
  <si>
    <t>Salvador Bravo</t>
  </si>
  <si>
    <t>Scarlett Mitchell</t>
  </si>
  <si>
    <t>Tristan Perry</t>
  </si>
  <si>
    <t>William Almeida</t>
  </si>
  <si>
    <t>William Santos</t>
  </si>
  <si>
    <t>Adriana Silva</t>
  </si>
  <si>
    <t>Superior</t>
  </si>
  <si>
    <t>Alma Rosa Delgado</t>
  </si>
  <si>
    <t>Amanda Costa</t>
  </si>
  <si>
    <t>Amanda Souza</t>
  </si>
  <si>
    <t>Aria Rivera</t>
  </si>
  <si>
    <t>Beatriz Castro Oliveira</t>
  </si>
  <si>
    <t>Camila Torres</t>
  </si>
  <si>
    <t>Carolina Valenzuela</t>
  </si>
  <si>
    <t>Charlotte Robinson</t>
  </si>
  <si>
    <t>Chloe Coleman</t>
  </si>
  <si>
    <t>Elena Cabrera</t>
  </si>
  <si>
    <t>Ellie Hayes</t>
  </si>
  <si>
    <t>Emily Wright</t>
  </si>
  <si>
    <t>Emma Cruz</t>
  </si>
  <si>
    <t>Emma Johnson</t>
  </si>
  <si>
    <t>Evelyn Walker</t>
  </si>
  <si>
    <t>Gabriella Price</t>
  </si>
  <si>
    <t>Grace Hill</t>
  </si>
  <si>
    <t>Hazel Myers</t>
  </si>
  <si>
    <t>Isabel Ramos</t>
  </si>
  <si>
    <t>Isabela Carvalho</t>
  </si>
  <si>
    <t>Isabela Martins Pereira</t>
  </si>
  <si>
    <t>Isabella Taylor</t>
  </si>
  <si>
    <t>Isabelle Howard</t>
  </si>
  <si>
    <t>Juliana de Souza Oliveira</t>
  </si>
  <si>
    <t>Landon Gray</t>
  </si>
  <si>
    <t>Laura Mendes</t>
  </si>
  <si>
    <t>Laura Pineda</t>
  </si>
  <si>
    <t>Leah Sanders</t>
  </si>
  <si>
    <t>Maria Elena Herrera</t>
  </si>
  <si>
    <t>Mariana Costa</t>
  </si>
  <si>
    <t>Mariana Martins</t>
  </si>
  <si>
    <t>Mariana Oliveira</t>
  </si>
  <si>
    <t>Mariana Ortiz</t>
  </si>
  <si>
    <t>Mariana Silva</t>
  </si>
  <si>
    <t>Mariana Velazquez</t>
  </si>
  <si>
    <t>Martin Dominguez</t>
  </si>
  <si>
    <t>Mia Thomas</t>
  </si>
  <si>
    <t>Naomi Carter</t>
  </si>
  <si>
    <t>Nora Collins</t>
  </si>
  <si>
    <t>Patrícia Costa</t>
  </si>
  <si>
    <t>Patricia Medina</t>
  </si>
  <si>
    <t>Paula Rojas</t>
  </si>
  <si>
    <t>Penelope Bailey</t>
  </si>
  <si>
    <t>Renata Almeida</t>
  </si>
  <si>
    <t>Renata Fernandes</t>
  </si>
  <si>
    <t>Renata Martins</t>
  </si>
  <si>
    <t>Renata Santos</t>
  </si>
  <si>
    <t>Rita Almeida</t>
  </si>
  <si>
    <t>Rita Fernandes</t>
  </si>
  <si>
    <t>Rita Martins</t>
  </si>
  <si>
    <t>Rita Oliveira</t>
  </si>
  <si>
    <t>Sandra Almeida</t>
  </si>
  <si>
    <t>Sandra Fernandes</t>
  </si>
  <si>
    <t>Sandra Gomes</t>
  </si>
  <si>
    <t>Sandra Santos</t>
  </si>
  <si>
    <t>Sofia Martinez</t>
  </si>
  <si>
    <t>Sophia Wilson</t>
  </si>
  <si>
    <t>Valeria Pena</t>
  </si>
  <si>
    <t>Veronica Reyes</t>
  </si>
  <si>
    <t>Victoria Murphy</t>
  </si>
  <si>
    <t>Vilma Almeida</t>
  </si>
  <si>
    <t>Vilma Fernandes</t>
  </si>
  <si>
    <t>Vilma Martins</t>
  </si>
  <si>
    <t>Vilma Oliveira</t>
  </si>
  <si>
    <t>Addison Ward</t>
  </si>
  <si>
    <t>Adrian Ramirez</t>
  </si>
  <si>
    <t>Alejandro Garcia</t>
  </si>
  <si>
    <t>Alejandro Mendoza</t>
  </si>
  <si>
    <t>André Castro</t>
  </si>
  <si>
    <t>Andrew Brooks</t>
  </si>
  <si>
    <t>Bernardo Gomes</t>
  </si>
  <si>
    <t>Bernardo Martins</t>
  </si>
  <si>
    <t>Bernardo Rodrigues</t>
  </si>
  <si>
    <t>Bernardo Santos</t>
  </si>
  <si>
    <t>Bruno Costa</t>
  </si>
  <si>
    <t>Bruno Fernandes</t>
  </si>
  <si>
    <t>Bruno Gomes</t>
  </si>
  <si>
    <t>Bruno Pereira Rodrigues</t>
  </si>
  <si>
    <t>Bruno Silva</t>
  </si>
  <si>
    <t>Cameron Coleman</t>
  </si>
  <si>
    <t>Carlos Lopez</t>
  </si>
  <si>
    <t>Christopher Ross</t>
  </si>
  <si>
    <t>Daniel Pereira</t>
  </si>
  <si>
    <t>Dominic Murphy</t>
  </si>
  <si>
    <t>Eduardo Nunez</t>
  </si>
  <si>
    <t>Eduardo Rodrigues</t>
  </si>
  <si>
    <t>Eli Parker</t>
  </si>
  <si>
    <t>Emerson Almeida</t>
  </si>
  <si>
    <t>Emerson Fernandes</t>
  </si>
  <si>
    <t>Emerson Gomes</t>
  </si>
  <si>
    <t>Emerson Santos</t>
  </si>
  <si>
    <t>Emiliano Acosta</t>
  </si>
  <si>
    <t>Emilio Sandoval</t>
  </si>
  <si>
    <t>Felipe Alves Pereira</t>
  </si>
  <si>
    <t>Fernando Rios</t>
  </si>
  <si>
    <t>Gabriel Lima</t>
  </si>
  <si>
    <t>Gabriel Lima Almeida</t>
  </si>
  <si>
    <t>Henrique Freitas</t>
  </si>
  <si>
    <t>Jackson Smith</t>
  </si>
  <si>
    <t>James Lee</t>
  </si>
  <si>
    <t>Jesus Castro</t>
  </si>
  <si>
    <t>Jesus Martinez</t>
  </si>
  <si>
    <t>João Almeida</t>
  </si>
  <si>
    <t>Jonathan Phillips</t>
  </si>
  <si>
    <t>José Costa</t>
  </si>
  <si>
    <t>José Fernandes</t>
  </si>
  <si>
    <t>Jose Luis Cardenas</t>
  </si>
  <si>
    <t>José Pereira</t>
  </si>
  <si>
    <t>Joseph Perez</t>
  </si>
  <si>
    <t>Julio Cesar Juarez</t>
  </si>
  <si>
    <t>Lincoln Powell</t>
  </si>
  <si>
    <t>Lucas Fernandes</t>
  </si>
  <si>
    <t>Lucia Sanchez</t>
  </si>
  <si>
    <t>Lucy Brooks</t>
  </si>
  <si>
    <t>Luiz Rodrigues</t>
  </si>
  <si>
    <t>Luz Maria Maldonado</t>
  </si>
  <si>
    <t>Madison Green</t>
  </si>
  <si>
    <t>Manuel Jimenez</t>
  </si>
  <si>
    <t>Marcelo Costa</t>
  </si>
  <si>
    <t>Marcelo Pereira</t>
  </si>
  <si>
    <t>Marcelo Santos</t>
  </si>
  <si>
    <t>Marcelo Silva</t>
  </si>
  <si>
    <t>Marcos Barbosa</t>
  </si>
  <si>
    <t>Mateus Almeida</t>
  </si>
  <si>
    <t>Maya Watson</t>
  </si>
  <si>
    <t>Miguel Angel Gonzalez</t>
  </si>
  <si>
    <t>Miguel Rivera</t>
  </si>
  <si>
    <t>Noah Jones</t>
  </si>
  <si>
    <t>Oliver Thompson</t>
  </si>
  <si>
    <t>Owen Watson</t>
  </si>
  <si>
    <t>Pedro Fernandes</t>
  </si>
  <si>
    <t>Pedro Gomes</t>
  </si>
  <si>
    <t>Pedro Silva</t>
  </si>
  <si>
    <t>Pedro Torres</t>
  </si>
  <si>
    <t>Rafael Costa</t>
  </si>
  <si>
    <t>Rafael Fernandes</t>
  </si>
  <si>
    <t>Rafael Ferreira</t>
  </si>
  <si>
    <t>Rafael Martins</t>
  </si>
  <si>
    <t>Rafael Oliveira</t>
  </si>
  <si>
    <t>Raul Dominguez</t>
  </si>
  <si>
    <t>Ricardo Barbosa</t>
  </si>
  <si>
    <t>Ricardo Lara</t>
  </si>
  <si>
    <t>Ricardo Navarro</t>
  </si>
  <si>
    <t>Rodrigo Oliveira Mendes</t>
  </si>
  <si>
    <t>Rylee Fisher</t>
  </si>
  <si>
    <t>Sandra Souza</t>
  </si>
  <si>
    <t>Serenity Morris</t>
  </si>
  <si>
    <t>Thiago Barbosa</t>
  </si>
  <si>
    <t>Thiago Barbosa Santos</t>
  </si>
  <si>
    <t>William Allen</t>
  </si>
  <si>
    <t>William Costa</t>
  </si>
  <si>
    <t>William Martins</t>
  </si>
  <si>
    <t>William Oliveira</t>
  </si>
  <si>
    <t>William Pereira</t>
  </si>
  <si>
    <t>Fonte</t>
  </si>
  <si>
    <r>
      <rPr>
        <sz val="12"/>
        <color theme="1"/>
        <rFont val="Bangla MN"/>
      </rPr>
      <t xml:space="preserve"> Bangla</t>
    </r>
    <r>
      <rPr>
        <sz val="12"/>
        <color theme="1"/>
        <rFont val="72 Black"/>
        <family val="2"/>
      </rPr>
      <t xml:space="preserve"> </t>
    </r>
    <r>
      <rPr>
        <sz val="12"/>
        <color theme="1"/>
        <rFont val="Bangla MN"/>
      </rPr>
      <t>MN</t>
    </r>
  </si>
  <si>
    <t>Cores Usadas</t>
  </si>
  <si>
    <t>#100625</t>
  </si>
  <si>
    <t>#372561</t>
  </si>
  <si>
    <t>#E85A7B</t>
  </si>
  <si>
    <t>#6477F2</t>
  </si>
  <si>
    <t>#58407D</t>
  </si>
  <si>
    <t>1) Análise das Bases Totais</t>
  </si>
  <si>
    <t>2) Análise Faixa Etária e Gênero</t>
  </si>
  <si>
    <t>3) Análise dos Produtos</t>
  </si>
  <si>
    <t>4) Análise Regional</t>
  </si>
  <si>
    <t>5) Análise Avaliação dos Clientes</t>
  </si>
  <si>
    <t>6) Análise Receita Total</t>
  </si>
  <si>
    <t>7) Análise grau de escolaridade</t>
  </si>
  <si>
    <t>Rótulos de Linha</t>
  </si>
  <si>
    <t>Contagem de Gênero</t>
  </si>
  <si>
    <t xml:space="preserve"> </t>
  </si>
  <si>
    <t>Contagem de Assinatura</t>
  </si>
  <si>
    <t>Contagem de Região</t>
  </si>
  <si>
    <t>Contagem de Avaliação</t>
  </si>
  <si>
    <t xml:space="preserve"> Mensalidades</t>
  </si>
  <si>
    <t>Anual</t>
  </si>
  <si>
    <t>Contagem de Nivel de Estudos</t>
  </si>
  <si>
    <t xml:space="preserve"> Faixa etária</t>
  </si>
  <si>
    <t>Total Geral</t>
  </si>
  <si>
    <t>Mensalidade</t>
  </si>
  <si>
    <t>Total</t>
  </si>
  <si>
    <t>Coluna1</t>
  </si>
  <si>
    <t>Coluna2</t>
  </si>
  <si>
    <t>Coluna3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</si>
</sst>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##&quot;.&quot;###&quot;.&quot;###&quot;-&quot;##"/>
    <numFmt numFmtId="165" formatCode="&quot;R$&quot;\ #,##0.00"/>
    <numFmt numFmtId="166" formatCode="&quot;R$&quot;\ #,\ \K&quot;&quot;"/>
    <numFmt numFmtId="167" formatCode="&quot;R$&quot;\ #,\ &quot;K&quot;"/>
  </numFmts>
  <fonts count="11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sz val="12"/>
      <color theme="1"/>
      <name val="72 Black"/>
      <family val="2"/>
    </font>
    <font>
      <sz val="11"/>
      <color theme="1"/>
      <name val="Century Gothic"/>
      <family val="2"/>
      <scheme val="minor"/>
    </font>
    <font>
      <sz val="12"/>
      <color theme="1"/>
      <name val="Bangla MN"/>
    </font>
    <font>
      <b/>
      <sz val="11"/>
      <color theme="1"/>
      <name val="Century Gothic"/>
      <family val="2"/>
      <scheme val="minor"/>
    </font>
    <font>
      <sz val="11"/>
      <color rgb="FF100625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5A7B"/>
        <bgColor indexed="64"/>
      </patternFill>
    </fill>
    <fill>
      <patternFill patternType="solid">
        <fgColor rgb="FF372561"/>
        <bgColor indexed="64"/>
      </patternFill>
    </fill>
    <fill>
      <patternFill patternType="solid">
        <fgColor rgb="FF10062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B5DE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6" borderId="0" xfId="0" applyFill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7" borderId="0" xfId="0" applyFont="1" applyFill="1" applyAlignment="1">
      <alignment horizontal="center"/>
    </xf>
    <xf numFmtId="0" fontId="2" fillId="8" borderId="0" xfId="0" applyFont="1" applyFill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8" fillId="10" borderId="1" xfId="0" applyFont="1" applyFill="1" applyBorder="1"/>
    <xf numFmtId="9" fontId="0" fillId="0" borderId="0" xfId="1" applyFont="1" applyBorder="1"/>
    <xf numFmtId="9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6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/>
    <xf numFmtId="9" fontId="0" fillId="0" borderId="9" xfId="1" applyFont="1" applyBorder="1"/>
    <xf numFmtId="0" fontId="0" fillId="4" borderId="0" xfId="0" applyFill="1"/>
    <xf numFmtId="0" fontId="1" fillId="0" borderId="0" xfId="0" applyFont="1"/>
    <xf numFmtId="0" fontId="1" fillId="5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11" borderId="0" xfId="0" applyFont="1" applyFill="1"/>
    <xf numFmtId="0" fontId="1" fillId="9" borderId="0" xfId="0" applyFont="1" applyFill="1"/>
    <xf numFmtId="0" fontId="9" fillId="0" borderId="12" xfId="0" applyFont="1" applyBorder="1"/>
    <xf numFmtId="0" fontId="9" fillId="0" borderId="13" xfId="0" applyFont="1" applyBorder="1"/>
    <xf numFmtId="9" fontId="9" fillId="0" borderId="14" xfId="1" applyFont="1" applyBorder="1"/>
    <xf numFmtId="0" fontId="9" fillId="0" borderId="10" xfId="0" applyFont="1" applyBorder="1"/>
    <xf numFmtId="0" fontId="9" fillId="0" borderId="9" xfId="0" applyFont="1" applyBorder="1"/>
    <xf numFmtId="9" fontId="9" fillId="0" borderId="11" xfId="1" applyFont="1" applyBorder="1"/>
    <xf numFmtId="0" fontId="9" fillId="0" borderId="15" xfId="0" applyFont="1" applyBorder="1"/>
    <xf numFmtId="0" fontId="9" fillId="0" borderId="16" xfId="0" applyFont="1" applyBorder="1"/>
    <xf numFmtId="9" fontId="9" fillId="0" borderId="17" xfId="1" applyFont="1" applyBorder="1"/>
    <xf numFmtId="0" fontId="1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orcentagem" xfId="1" builtinId="5"/>
  </cellStyles>
  <dxfs count="60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##&quot;.&quot;###&quot;.&quot;###&quot;-&quot;#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0625"/>
        <name val="Century Gothic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100625"/>
        <name val="Century Gothic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100625"/>
        <name val="Century Gothic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100625"/>
        <name val="Century Gothic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100625"/>
        <name val="Century Gothic"/>
        <family val="2"/>
        <scheme val="minor"/>
      </font>
    </dxf>
    <dxf>
      <numFmt numFmtId="0" formatCode="General"/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outline="0">
        <top style="thin">
          <color theme="1" tint="0.499984740745262"/>
        </top>
      </border>
    </dxf>
    <dxf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 outline="0">
        <bottom style="thin">
          <color theme="1" tint="0.499984740745262"/>
        </bottom>
      </border>
    </dxf>
    <dxf>
      <font>
        <color rgb="FFE85A7B"/>
      </font>
    </dxf>
    <dxf>
      <font>
        <color rgb="FFE85A7B"/>
      </font>
    </dxf>
    <dxf>
      <font>
        <color rgb="FFE85A7B"/>
      </font>
    </dxf>
    <dxf>
      <font>
        <color rgb="FF372561"/>
      </font>
    </dxf>
    <dxf>
      <font>
        <color theme="3"/>
      </font>
      <fill>
        <patternFill>
          <fgColor auto="1"/>
          <bgColor rgb="FFE85A7B"/>
        </patternFill>
      </fill>
    </dxf>
    <dxf>
      <font>
        <color theme="3"/>
      </font>
      <fill>
        <patternFill>
          <fgColor auto="1"/>
          <bgColor rgb="FF372561"/>
        </patternFill>
      </fill>
    </dxf>
    <dxf>
      <font>
        <color theme="3"/>
      </font>
      <fill>
        <patternFill>
          <bgColor rgb="FF37256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3"/>
      </font>
      <fill>
        <patternFill>
          <bgColor rgb="FF372561"/>
        </patternFill>
      </fill>
    </dxf>
    <dxf>
      <font>
        <color rgb="FFE85A7B"/>
      </font>
      <fill>
        <patternFill>
          <bgColor rgb="FFE85A7B"/>
        </patternFill>
      </fill>
    </dxf>
    <dxf>
      <font>
        <color rgb="FFE85A7B"/>
      </font>
      <fill>
        <patternFill>
          <bgColor rgb="FF372561"/>
        </patternFill>
      </fill>
    </dxf>
    <dxf>
      <font>
        <color rgb="FFE85A7B"/>
      </font>
      <fill>
        <patternFill>
          <fgColor rgb="FF372561"/>
          <bgColor rgb="FFE85A7B"/>
        </patternFill>
      </fill>
    </dxf>
    <dxf>
      <font>
        <color rgb="FFE85A7B"/>
      </font>
      <border diagonalUp="0" diagonalDown="0">
        <left/>
        <right/>
        <top/>
        <bottom/>
        <vertical/>
        <horizontal/>
      </border>
    </dxf>
    <dxf>
      <font>
        <color rgb="FF372561"/>
      </font>
      <fill>
        <patternFill>
          <fgColor rgb="FFE85A7B"/>
        </patternFill>
      </fill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b/>
        <i val="0"/>
        <color rgb="FF5C5C5C"/>
        <name val="Roboto"/>
        <scheme val="none"/>
      </font>
      <fill>
        <patternFill>
          <bgColor rgb="FF5C5C5C"/>
        </patternFill>
      </fill>
      <border diagonalUp="0" diagonalDown="0">
        <left/>
        <right/>
        <top/>
        <bottom/>
        <vertical/>
        <horizontal/>
      </border>
    </dxf>
    <dxf>
      <font>
        <color rgb="FF100625"/>
      </font>
      <fill>
        <patternFill>
          <bgColor rgb="FFE85A7B"/>
        </patternFill>
      </fill>
    </dxf>
    <dxf>
      <font>
        <color theme="0"/>
      </font>
    </dxf>
    <dxf>
      <font>
        <color theme="0"/>
      </font>
    </dxf>
    <dxf>
      <font>
        <color rgb="FF100625"/>
      </font>
      <fill>
        <patternFill>
          <bgColor rgb="FFE85A7B"/>
        </patternFill>
      </fill>
    </dxf>
    <dxf>
      <font>
        <color rgb="FF100625"/>
      </font>
      <fill>
        <patternFill>
          <bgColor rgb="FFE85A7B"/>
        </patternFill>
      </fill>
    </dxf>
    <dxf>
      <font>
        <color theme="0"/>
      </font>
      <border>
        <bottom style="thin">
          <color theme="5"/>
        </bottom>
        <vertical/>
        <horizontal/>
      </border>
    </dxf>
    <dxf>
      <font>
        <color theme="0"/>
      </font>
      <fill>
        <patternFill>
          <bgColor rgb="FF10062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3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strike/>
        <color theme="3"/>
      </font>
      <border diagonalUp="0" diagonalDown="0">
        <left/>
        <right/>
        <top/>
        <bottom/>
        <vertical/>
        <horizontal/>
      </border>
    </dxf>
    <dxf>
      <fill>
        <patternFill>
          <bgColor rgb="FFE85A7B"/>
        </patternFill>
      </fill>
    </dxf>
    <dxf>
      <font>
        <color rgb="FFE85A7B"/>
      </font>
      <fill>
        <patternFill>
          <fgColor rgb="FF37256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rgb="FF372561"/>
      </font>
      <fill>
        <patternFill>
          <fgColor rgb="FF372561"/>
        </patternFill>
      </fill>
      <border diagonalUp="0" diagonalDown="0">
        <left/>
        <right/>
        <top/>
        <bottom/>
        <vertical/>
        <horizontal/>
      </border>
    </dxf>
  </dxfs>
  <tableStyles count="6" defaultTableStyle="TableStyleMedium2" defaultPivotStyle="PivotStyleLight16">
    <tableStyle name="Seg_format" pivot="0" table="0" count="12" xr9:uid="{E77826EE-CC14-F249-8B5A-ADF5E24FD02A}">
      <tableStyleElement type="wholeTable" dxfId="59"/>
      <tableStyleElement type="headerRow" dxfId="58"/>
      <tableStyleElement type="totalRow" dxfId="57"/>
      <tableStyleElement type="lastHeaderCell" dxfId="56"/>
    </tableStyle>
    <tableStyle name="SegmentadoresFormat" pivot="0" table="0" count="13" xr9:uid="{BEBA643B-F8F3-B544-99C2-8AF978AE81DB}">
      <tableStyleElement type="wholeTable" dxfId="55"/>
      <tableStyleElement type="headerRow" dxfId="54"/>
      <tableStyleElement type="firstRowStripe" dxfId="53"/>
      <tableStyleElement type="firstColumnStripe" dxfId="52"/>
      <tableStyleElement type="secondColumnStripe" dxfId="51"/>
    </tableStyle>
    <tableStyle name="Slicer123" pivot="0" table="0" count="10" xr9:uid="{8C5795CE-FDF2-1249-B2F5-93E194046EC2}">
      <tableStyleElement type="wholeTable" dxfId="50"/>
      <tableStyleElement type="headerRow" dxfId="49"/>
    </tableStyle>
    <tableStyle name="SlicerStyleDark2 2" pivot="0" table="0" count="15" xr9:uid="{9B836CE6-5D5C-5749-9EEC-0F141544F128}">
      <tableStyleElement type="wholeTable" dxfId="48"/>
      <tableStyleElement type="headerRow" dxfId="47"/>
      <tableStyleElement type="totalRow" dxfId="46"/>
      <tableStyleElement type="firstColumn" dxfId="45"/>
      <tableStyleElement type="firstRowStripe" dxfId="44"/>
      <tableStyleElement type="firstColumnStripe" dxfId="43"/>
      <tableStyleElement type="firstHeaderCell" dxfId="42"/>
    </tableStyle>
    <tableStyle name="SlicerStyleLight1 2" pivot="0" table="0" count="10" xr9:uid="{3B5C891F-A385-4F09-8DC8-7D9504388D22}">
      <tableStyleElement type="wholeTable" dxfId="41"/>
      <tableStyleElement type="headerRow" dxfId="40"/>
    </tableStyle>
    <tableStyle name="SlicerStyleLight1 3" pivot="0" table="0" count="21" xr9:uid="{92A4BD21-9969-4CE2-85E3-C5746F51EF95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secondRowStripe" dxfId="33"/>
      <tableStyleElement type="firstColumnStripe" dxfId="32"/>
      <tableStyleElement type="secondColumnStripe" dxfId="31"/>
      <tableStyleElement type="firstHeaderCell" dxfId="30"/>
      <tableStyleElement type="lastHeaderCell" dxfId="29"/>
      <tableStyleElement type="firstTotalCell" dxfId="28"/>
      <tableStyleElement type="lastTotalCell" dxfId="27"/>
    </tableStyle>
  </tableStyles>
  <colors>
    <mruColors>
      <color rgb="FF623CEA"/>
      <color rgb="FFB31066"/>
      <color rgb="FFE85A7B"/>
      <color rgb="FF100625"/>
      <color rgb="FF6477F2"/>
      <color rgb="FF372561"/>
      <color rgb="FFDADADA"/>
      <color rgb="FF58407D"/>
      <color rgb="FF8784C7"/>
      <color rgb="FFB8B5DE"/>
    </mruColors>
  </colors>
  <extLst>
    <ext xmlns:x14="http://schemas.microsoft.com/office/spreadsheetml/2009/9/main" uri="{46F421CA-312F-682f-3DD2-61675219B42D}">
      <x14:dxfs count="48">
        <dxf>
          <fill>
            <patternFill>
              <bgColor theme="8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3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E71D3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FFFF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rgb="FF5C5C5C"/>
            <name val="Roboto"/>
          </font>
          <fill>
            <patternFill patternType="solid">
              <fgColor theme="4" tint="0.59999389629810485"/>
              <bgColor rgb="FFF7B32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rgb="FFFFFFFF"/>
              <bgColor rgb="FFD6D6D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 3">
        <x14:slicerStyle name="Seg_format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egmentadoresFormat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123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Dark2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[BaseAssinantes.xlsx]Análise!FaixaEtariaGenero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85A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E85A7B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310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B3106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Análise!$H$5:$H$6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rgbClr val="E85A7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5A7B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Análise!$G$7:$G$11</c:f>
              <c:strCache>
                <c:ptCount val="4"/>
                <c:pt idx="0">
                  <c:v>24-34</c:v>
                </c:pt>
                <c:pt idx="1">
                  <c:v>35 - 44</c:v>
                </c:pt>
                <c:pt idx="2">
                  <c:v>44 - 54</c:v>
                </c:pt>
                <c:pt idx="3">
                  <c:v>54-70</c:v>
                </c:pt>
              </c:strCache>
            </c:strRef>
          </c:cat>
          <c:val>
            <c:numRef>
              <c:f>Análise!$H$7:$H$11</c:f>
              <c:numCache>
                <c:formatCode>General</c:formatCode>
                <c:ptCount val="4"/>
                <c:pt idx="0">
                  <c:v>43</c:v>
                </c:pt>
                <c:pt idx="1">
                  <c:v>101</c:v>
                </c:pt>
                <c:pt idx="2">
                  <c:v>89</c:v>
                </c:pt>
                <c:pt idx="3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D-D549-90F4-DD0AFF4AC803}"/>
            </c:ext>
          </c:extLst>
        </c:ser>
        <c:ser>
          <c:idx val="1"/>
          <c:order val="1"/>
          <c:tx>
            <c:strRef>
              <c:f>Análise!$I$5:$I$6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B31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B3106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Análise!$G$7:$G$11</c:f>
              <c:strCache>
                <c:ptCount val="4"/>
                <c:pt idx="0">
                  <c:v>24-34</c:v>
                </c:pt>
                <c:pt idx="1">
                  <c:v>35 - 44</c:v>
                </c:pt>
                <c:pt idx="2">
                  <c:v>44 - 54</c:v>
                </c:pt>
                <c:pt idx="3">
                  <c:v>54-70</c:v>
                </c:pt>
              </c:strCache>
            </c:strRef>
          </c:cat>
          <c:val>
            <c:numRef>
              <c:f>Análise!$I$7:$I$11</c:f>
              <c:numCache>
                <c:formatCode>General</c:formatCode>
                <c:ptCount val="4"/>
                <c:pt idx="0">
                  <c:v>61</c:v>
                </c:pt>
                <c:pt idx="1">
                  <c:v>111</c:v>
                </c:pt>
                <c:pt idx="2">
                  <c:v>121</c:v>
                </c:pt>
                <c:pt idx="3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D-D549-90F4-DD0AFF4AC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30"/>
        <c:axId val="76875967"/>
        <c:axId val="76879999"/>
      </c:barChart>
      <c:catAx>
        <c:axId val="7687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alpha val="0"/>
            </a:schemeClr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DADADA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879999"/>
        <c:crosses val="autoZero"/>
        <c:auto val="1"/>
        <c:lblAlgn val="ctr"/>
        <c:lblOffset val="100"/>
        <c:noMultiLvlLbl val="0"/>
      </c:catAx>
      <c:valAx>
        <c:axId val="7687999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687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88287615"/>
        <c:axId val="2089097344"/>
      </c:barChart>
      <c:catAx>
        <c:axId val="18828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37256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9097344"/>
        <c:crosses val="autoZero"/>
        <c:auto val="1"/>
        <c:lblAlgn val="ctr"/>
        <c:lblOffset val="100"/>
        <c:noMultiLvlLbl val="0"/>
      </c:catAx>
      <c:valAx>
        <c:axId val="208909734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8828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74737700489446"/>
          <c:y val="8.2109044572809625E-2"/>
          <c:w val="0.66207260859216233"/>
          <c:h val="0.7458604581179220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E85A7B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B8D1E98-88B3-A949-9AEA-337A7E711A0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539-7044-BD8E-9C336B44251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67D0DB8-D210-4D44-8850-29219A5BA648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539-7044-BD8E-9C336B44251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F266A78-BF84-EA4D-AA5A-8A1960BFCBA1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539-7044-BD8E-9C336B44251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9C5A3DA-7622-CC44-A5B4-2C56D2841E8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39-7044-BD8E-9C336B442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Análise!$M$17:$M$20</c:f>
              <c:strCache>
                <c:ptCount val="4"/>
                <c:pt idx="0">
                  <c:v>Premium X</c:v>
                </c:pt>
                <c:pt idx="1">
                  <c:v>Deluxe Box</c:v>
                </c:pt>
                <c:pt idx="2">
                  <c:v>Safe Watch</c:v>
                </c:pt>
                <c:pt idx="3">
                  <c:v>Magic Box</c:v>
                </c:pt>
              </c:strCache>
            </c:strRef>
          </c:cat>
          <c:val>
            <c:numRef>
              <c:f>Análise!$O$17:$O$20</c:f>
              <c:numCache>
                <c:formatCode>0%</c:formatCode>
                <c:ptCount val="4"/>
                <c:pt idx="0">
                  <c:v>0.16957605985037408</c:v>
                </c:pt>
                <c:pt idx="1">
                  <c:v>0.20947630922693267</c:v>
                </c:pt>
                <c:pt idx="2">
                  <c:v>0.2892768079800499</c:v>
                </c:pt>
                <c:pt idx="3">
                  <c:v>0.33167082294264338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Análise!$N$17:$N$20</c15:f>
                <c15:dlblRangeCache>
                  <c:ptCount val="4"/>
                  <c:pt idx="0">
                    <c:v>136</c:v>
                  </c:pt>
                  <c:pt idx="1">
                    <c:v>168</c:v>
                  </c:pt>
                  <c:pt idx="2">
                    <c:v>232</c:v>
                  </c:pt>
                  <c:pt idx="3">
                    <c:v>266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8539-7044-BD8E-9C336B442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67"/>
        <c:axId val="490090751"/>
        <c:axId val="487300095"/>
      </c:barChart>
      <c:catAx>
        <c:axId val="49009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E85A7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300095"/>
        <c:crosses val="autoZero"/>
        <c:auto val="1"/>
        <c:lblAlgn val="ctr"/>
        <c:lblOffset val="100"/>
        <c:noMultiLvlLbl val="0"/>
      </c:catAx>
      <c:valAx>
        <c:axId val="4873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38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009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FA-234E-93BE-5067BA75F0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FA-234E-93BE-5067BA75F0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Análise!$B$10:$B$11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Análise!$D$10:$D$11</c:f>
              <c:numCache>
                <c:formatCode>0%</c:formatCode>
                <c:ptCount val="2"/>
                <c:pt idx="0">
                  <c:v>0.43890274314214461</c:v>
                </c:pt>
                <c:pt idx="1">
                  <c:v>0.56109725685785539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FA-234E-93BE-5067BA75F0E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404085712196191E-2"/>
          <c:y val="8.6440666429912397E-2"/>
          <c:w val="0.41382877062967743"/>
          <c:h val="0.679661059700912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64-7A40-BFE5-7F75697CE81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64-7A40-BFE5-7F75697CE81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64-7A40-BFE5-7F75697CE81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64-7A40-BFE5-7F75697CE81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64-7A40-BFE5-7F75697CE81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64-7A40-BFE5-7F75697CE81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664-7A40-BFE5-7F75697CE81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664-7A40-BFE5-7F75697CE8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Análise!$U$19:$U$26</c:f>
              <c:strCache>
                <c:ptCount val="8"/>
                <c:pt idx="0">
                  <c:v>Boa qualidade</c:v>
                </c:pt>
                <c:pt idx="1">
                  <c:v>Produto com defeito</c:v>
                </c:pt>
                <c:pt idx="2">
                  <c:v>Embalagem Danificada</c:v>
                </c:pt>
                <c:pt idx="3">
                  <c:v>Suporte Ruim</c:v>
                </c:pt>
                <c:pt idx="4">
                  <c:v>Atraso na Entrega</c:v>
                </c:pt>
                <c:pt idx="5">
                  <c:v>Faltando Item</c:v>
                </c:pt>
                <c:pt idx="6">
                  <c:v>Atendimento Bom</c:v>
                </c:pt>
                <c:pt idx="7">
                  <c:v>Produto Excelente</c:v>
                </c:pt>
              </c:strCache>
            </c:strRef>
          </c:cat>
          <c:val>
            <c:numRef>
              <c:f>Análise!$V$19:$V$26</c:f>
              <c:numCache>
                <c:formatCode>General</c:formatCode>
                <c:ptCount val="8"/>
                <c:pt idx="0">
                  <c:v>23</c:v>
                </c:pt>
                <c:pt idx="1">
                  <c:v>23</c:v>
                </c:pt>
                <c:pt idx="2">
                  <c:v>47</c:v>
                </c:pt>
                <c:pt idx="3">
                  <c:v>47</c:v>
                </c:pt>
                <c:pt idx="4">
                  <c:v>69</c:v>
                </c:pt>
                <c:pt idx="5">
                  <c:v>70</c:v>
                </c:pt>
                <c:pt idx="6">
                  <c:v>190</c:v>
                </c:pt>
                <c:pt idx="7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664-7A40-BFE5-7F75697CE8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2197911613666748"/>
          <c:y val="7.1186431177574908E-2"/>
          <c:w val="0.45944499331530314"/>
          <c:h val="0.90490565796000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plotArea>
      <cx:plotAreaRegion>
        <cx:series layoutId="regionMap" uniqueId="{6123BBAC-BA9E-734F-A1F4-E022BE3D0B12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000" b="1">
                    <a:solidFill>
                      <a:schemeClr val="tx1"/>
                    </a:solidFill>
                  </a:defRPr>
                </a:pPr>
                <a:endParaRPr lang="pt-BR" sz="2000" b="1" i="0" u="none" strike="noStrike" baseline="0">
                  <a:solidFill>
                    <a:schemeClr val="tx1"/>
                  </a:solidFill>
                  <a:latin typeface="Century Gothic" panose="020B0502020202020204"/>
                </a:endParaRPr>
              </a:p>
            </cx:txPr>
            <cx:visibility seriesName="0" categoryName="0" value="1"/>
          </cx:dataLabels>
          <cx:dataId val="0"/>
          <cx:layoutPr>
            <cx:geography viewedRegionType="dataOnly" cultureLanguage="pt-BR" cultureRegion="BR" attribution="Da plataforma Bing">
              <cx:geoCache provider="{E9337A44-BEBE-4D9F-B70C-5C5E7DAFC167}">
                <cx:binary>1HrZct42tu6ruHx96GAG2NXpC5C/BluyZMujbliyJJPgBBLgAPJt9rOcFzuLdOJYimN3unbtOlu5
cCT+/DGshYX1Df+8Df+4re9v3JPQ1K3/x2349WkxDN0/fvnF3xb3zY1/1phbZ739PDy7tc0v9vNn
c3v/y527mU2b/0IQZr/cFjduuA9P//VP+Lb83p7Z25vB2PbVeO+W1/d+rAf/g2ffffTk1o7tsL2e
wzf9+lS7G2/qp0/u28EMy5ulu//16YOPPH3yy+Mv+tOgT2qY1zDewbsRRs/o/oPI0ye1bfPfH3D6
jKDtR4r9n+35l1Ff3jTw5s9nss/j5u7O3Xv/5Ld//3jvwaz/+LPxNvmy5MRuE9Sv9xX98nBL//XP
R3+ANT76yze7/nhDfvYIJtuYNjV+cOZ2wL8+fW3sk2N3097dP7mzT67GRwF48PG/GwCKniEacxKr
R/uPnxEsYgoPv7v/f2tO3w/Fd77iwVJg4VdP/yoD/78M1NVNO9w8SW6GG2fam98T9ssxebC0vxsl
Ip/xOFYMYfhn/3kYLaaecYYVQZx+iRb9ffAvp+Xfn9j3Q/X4/QeL+fXpVfK/K06XN3Ca/u9//b5H
/x0B4s8YRUzGiH0/QPEzohjHmIuvz78tZ//GjL4fma8vPgrJJRSu/9Ea99f17+sFkMLBOOw3xzcl
8MdPf6+dj159cAE9WPnvMT29+/UpiQWGa+PrjbR9yYNL5HFaf4nIN6/e3/gBbik4XhQCJ2MqEcYS
KyiW8/3+CO4pRYVECgmlmBRcPH3SWjcU8Brhz2LOpVBccTiaSMJr3o5fnsXPKJFbNgjMmYQPfL24
L2295Lb9ujG//f6kHZtLa9rB//qUP33SffnUNlnBBN5GxgopxRkXSsLz25vX0BvAh/H/YXKevR/H
Jm0Zw0nZs+yNmAd6slI73X6zQ98Zin1vqJhISmA8JTh6ONQwynZgxdSkGBacTHjiSb3Gd//JIALD
1sVEoHhb7zfrQbjLlbRDkxY8mw9Fi1DazvH64sejcAZl8dG+xTESiMPmIaiu/NE4UVyhmnRoSVWb
Ry8WuQSfhqheXto17+Q5K1jVJF2LxiahHfUqXecMDzoawuBeoCGupPYum9c7NOcoo4mP3BjTZOhN
iDRpqKybpMjKprgkM53jJDBeHsucKXNkliy0aenMUOkIRTycMBYimTKf9bWmYsqXtOM1vid5Tj+2
Zp7u6pzmaxp3DUFJL7KSJlNo1lhHeTPkKQlrV53wyK2NHgiLPjth7bkdsXCaF8bIxJFyvGeCm0nP
dvJlMtZ8vgpCDrmWMydvW2Wzl3is6lI3mVQkCWvmTLLKBs+JbcdyThsy9r02qMzfs5HMozbjrExK
Koy8FmNLTIqFEHWyLpLUCUZs+NxXbBiTTDXIJms/te84KfmsSRDkdkCMPadRV8U6TKS8ge8ntZ7w
aMvEIO8q3UXSuJRzUpAXNp/al0iWotSyk/wGlUJGuiS4XfUyqXFKrCyt0K7y0wx/b9fzNp+UTISo
2jO1VCHoXgyGaSbXqEmMcqM6MZEI1dni+7hIhHQewf5TFL/CPWJrUrSCXxdNiDzMOLhX7UAMOuk5
hX1GU+Rpwqd1OUd9495lZJwHnaulfBOa2X5qC5srSISA1kPpg6h1VdUdTkbPg3uBRVtWyUBrwl5U
ODDYAsnK+wzn2dussvMbigIbdGgmM6yw4G5hiZeqWzQZc/c69NZeE1SWl7xZfdCDEfW7olL9NVG+
RQkJrr5oC7Jkad5h8a5CTXu+lnJ40TZG4cNA23E5ZLkcLzK+xMtJVwzqAzWx+OScYavu7RCZlFtm
z3jJ8Dm2AiIxdpV/E+dtdTX5WJ7athlmXXTcfYjzeq7SQi5VrbGNlpOoWvIG5lG4a+6VxHpsl7bS
8UB9p3NI3ZtpLocF0rVzxXGdZfmQLJLRXPNoNTc2p84ni5u4S3xTW6zFWtIpRWixPuEO8UmXfM1P
SxWNs16gKjcac1fUWoUxvMqLYVoSTGrb6X4lU5+sfGB5EtUzQC4SuleTleKu6obsJLipnbSrRfQh
FObaYlXDIXOIvc/kSIweK7GGJGtF32liCHF6GWf/qu79WidsZWupVbaS4bBkLBu1LfFQJSLK8QsR
AroIfGQLJOQ69Ikno8UJbmr30avIZ4mty+VWRMGzpG1Rh7WJ1IASW0X5qS/6LBxGhnyuozLqssMs
5y7TVW8yq10TRZ2mQfYkEYOqbuZhDJVeelxbPUdxGzSfluh0xRxbXeG2eTV0dou6laTUy9AsOJnn
tjbPSR+3VBcjqt8WkVrEUTP6HGtEysZDnod11XM8tkMCaWRaPVjaz2k/1mWmpS+H8bgSc3XVTxlN
ayhBKskz3DLtSW9pMqpl8EmQRT4nnemaGU71KlZdlUuVp6wKxXsaKxxSVRlqjnMVOnxYVyzIsS3b
DMoTW/oCythiP6JiO/7VlCOXwlFUb/N6HNDBuDBGelkAVh1sVUYRZJWLiI5oNVbaRUHe8cwWzRlv
x/yqKbLpQzdaeSEbT8XBrZkdDk3cFsfLSrqQ9tUQs4T6upRJyGdTJmttyQfaqKE94GxFUVpAp7ck
VVC5SSrXTEzXEW1fYTWo10UWwUwjz0WaWZuTJBJjIXQ0kndtlcljzHjUpvPq6A03UbNqRsbm1DVr
PR0wD3AOSDaiN1hZ8lxFUzXprKuKO1+Z/COZAoR77ENjEpH1JVRS2kSL9tVU5toHXFXalzF5X9ek
uODlWsJRLjB52SkTpoRiGZs0NqgLx7GP5GfFlrLS7Vy0me5qJ6O0Ll09pkNNi0smUBNS3E3d621H
Jg0tQXYmJ4I/lEvtwiHrWzPoum7bJslC2b2E/419yvOZvAkVCe+AwRjDocZ0kHqVU/xhHrG6XiGL
z+qu66jeepc2jXwfpDbl0httpjB/GmyzzkkfhIFo5zXU5sjB0dGFrOvbjMGB1XnNyPORNCvcfioz
XItp9I1WznU2GVZuL7nv8Eul4Io+1D3JP6hSoI+Nd8usmUKz1TLr+XPZLsuiRzV2rZ6gzb/1UzT2
hyYLy42BoepEYla97xdcRnqK8+aDw1MjdK267A2NyPK26Ux04vqZOV2sdVfrNooKllYChUVjOFWv
upq1n9q4qz/NNpNdsmQtnFRWStTpKprIy7kYKU4rJOirtajbN00214VecL5+bKdeXmA/0CU1ZGRH
jK7mlCNRvY6Ktho1crJ3cGlG7qhRvsZ6LdqG6XWOSJvkdGyFFpXIznNWTlY30NZdRbmp3kTlNDZ6
ksP0fg4mv2EqIhXc4mi9r431vcYN5r22aKh6PQ+NkVosA5Tnks3NlYtLKIOCNcvZ0jfrRW8XdgV3
VU21Qrw77Zq2hhcommeIa9aUeu5a8kEazrGu6sJ/DFM/v2PE4iwxteLPPZ/5+WpXn2knod1KJtlE
s67RaIMulcNvM5mju24Ow3TSxHGfHxqzrK9a5NFlazPLddQ36rXgbXTrRZPXSU2qBpKW9h1sU1nX
Z7bmCjJ1GPMa8ofD/UqWKWu0CWMpNLNsOI9yUb+PK1hniEdzNubMvV9pNR1W7+CqgyvkbPZ9dcFD
TduEwvV0FXLGTRJgd1iahzC+WBfDFx2iSZzNcKtMSRtskVhcxW/rwtD3ZrCDOmpcQ64a7AlJ+0mq
oGfj5ndlSehLV/IihwNDquKFRHyUuoq7kCetMZAWlbHLu1LNMdEdNdGZCzOZoCgaWiXLRO2lD3nT
6UBQPh0iJnpx6GjrXmUSZXeLxXCQl6w2NxUV4UU8T2OtY5P1Sq9TVA9wz9aT0JxXvoIryRWfyUow
1Vm09p/ixYsoMZWzb+Habq9HXJXZUYUmfBoagjPdspyfT6XrL6IgyiveEVnqUdbodG1yu+heFvYq
ts6963PJ30Eroq4aCuvVaxSK/qiKB3EbYqRKXXqZX1BBfZau0Mk/hwtWQVZAGYcMahYBvdWgzPt2
nlWUFH07f0YLCZdxOZohKeLBnSnZjdDuln02pXNWk/noJxjiMYIA7jWOoVxjQhBVYkMY3yCVIBRp
HSttyquof1VHXZxC1zofFwsW7388FAUo+RCtEMQ4oVJQAI1MUICT347Vutblbd30aWk5fUN4biPd
oSi77lVUEe3lUkDo5mWtdc1Yb47iji+fm6WP6aHipHuH5YAGPfuqwy+oy0ur86owkWYtwi9CmO2b
jowKpRBXcj+6aRWpIl13OhgsXwY/lZ+xRP5VzNhyzfm8lAkL3LZJZ6v4Jow0XGMzi16XXVCvhoYU
b4Rj66d2rpurmRK/6nIGfKT3ffmNUPgNkn5Bw7e2W5yBvu3Rr/86/50e33nYrx/b6YM/fruY7t0w
uvsn5zedf3I0tnc7Q/74nW3kry/BSL/NZKMPHvzyJy7jL9iKL+T7Xzz896iMmAI6lYC1/5rM+MoE
/cFifH3rDx4DEa5iRDmiDO554Al+5zHYMyARgDqIgecggIeBOPnKY5BnfCMegeBAlEKa4294DPFM
YjgBsYop8AFMyr/FY1AY5mGOI4xUHEshiBIyfsxkEDsUGPXRmEZ7h8rnfloO5da4RsQRCy2WiE6Z
CHAh9AA9rA57xyu35pftfXA0h7zX9d4fh71XlsS47DDtPbRqfBQO7dZaC0BrKCmV7QFYLH6A7ntr
xJWTQ5agrT13e6ceGT/2ybx38Att0AXf2vp89mOVhL3b9wi6m0M+dwhalR0RmFj6V3THCdngXacb
sqKQAIoELOE2WBGLpmpSZLAuskZ8WNGAkPZwFZ6Uwom7YYMnDmfNzbJjliWfZpiEM7AHZV53a1IZ
EV6xeVgrAFtoghtsR0ETl7C0HRtV0AcBfpoLNqVux0/QNAGWsnTyHsAJQKyl6Fiuqx15FUXwxfG4
I7JiA2dqx2mkgR4DGrygAL/xyV1nO6pDG8DLd6yndtwHc/UfoAsENDhuwFBtEDGjs3+DdtxYN4ac
w/1qz7odV/Y7xnS5l5/sBjyhg8uWk3iDozzrIOpOVDE+LBtghRaiPYcuXL5bJV6zdGxIfeFrVwJG
69r5WrJufcd2FDyisbycN2jcxrZ/baYFLXo1E4ArHBcNAOmSV3zQ8QawI6GKOxiRo9OIGv62bsvZ
HE3ZOql0Hmu8HPXFUJeHHlHzSa6hv7ehN7jVuRkHcljruJFpoGWRQavQ0yIhploA6ER2fCMI5lJb
F3NgTWZSvsOkYf7UlPHwHCBA/lEurHzRhyW7cVlhDXT80vdHtZXDa9G2600b1eFjYReANcD8TS9N
tzQvS1a7Xheqzwg0bmtW6mEVluoxowCT1tbOjc6wkp8Kzoc6sUOZZWm19HUEyafUGUJNlSclXteL
rOLjyx4w1odGWXGNgYbL4foY3RlqafVCsRi6VFPzIVl9W79euhm4jb7psARIHwPQEdCA6TFqyKIX
M/ArAbyW0ayKp6NynXGeImb9EVvz+LUBXupECR9eYdfFx0WWNzdZpuoxgWrV+gRNrgCwOBdWHeeu
ml5HpvVtUivkrz2anTjYNYRVR252MKZcKdNVWy7ZEbPYnc80n29Vr6BxnErY1cGJngHmCPNytOY8
49ox6L8PtV1X6JiYrdTxyBtUpKGcVpKuueGvUZaP16vqCU9QN1OcyMzjSIe8Ygw6yNrGh7lCw12r
gF45Yrlbz7sRgniCRF6VRxxNAGayca2m46LnxZoAqKBnQYJEW1ZFXCU+y7K7sVjbRsdcsRsKIQJo
1lvo2BEum6TFHW4SN4+KJ66bAdozCuRR6uyWSq6sllHnxVzytIpiBL1g2+ciiTNRfIxs7K+hf6/P
5qlsP42D40KPwI/TI7aMrU3iPmr5IS+lGF41xsurhrVrk8AA7gWQFQUQTKpx4wEPI3SSqoeJAA2w
ZomvKP9YGjsZYD8hjIdFZMPRJCNGtCsQ6U+EnPFbU/KNKFiHZdBFOYt3Da/RZc9QxQ9jrNx5JkJp
Utet9XsmSQSlfFT+s8vrZtRNPc0GOlQxpbYE9vTQuwnY36mLilvlC4eOGNlQ8tKH6j6CpfiE1KHt
k05Wi0xpvoTPKORQ92PkesCZUPNeQzubLwdurL0LYxZfTaSmCrofN7zOmmZlUM1IXCZQ6iAnEKEB
J/k6s1NYaw5AwkNjqrs1AHqugO8UeiUjfR9wOQ5QQno0JmEsgGaROJQfurmRg2Zj2z6fmSHrwRZ2
vkctZm9tKaIeeD/cugSNc3+lLEJ1mi98Eoe8jSCrbUCo0CjOF2hri7pzqW/7sJ7k0D1RjRDnIvGl
AKokHzP4fNUgE9KcFeFTDvDzoxK2v2KeFiK1Ga5ZMnHlogOSUKN1w6eNsh6H7r0fCtRonw1rALYA
OuqDjeBkQzme2PMW16g5zhcKuV2Xzcs4hMmleUzJxzIQTo/MKCMgKrrM9MdAubQQn6Ev70zdi2va
ZYoc+nFcYp2TmEVHNg6kel62C34b8wixFysAu/gE8kPQFMemI6mKQS5L7AJt6wEFZ+pTrxzh2psq
Xl95uHDf5qh0QFy1nRlPK8Tn9aQacBbrAdI2BUglqtR2cLQTP7a+PNhBoirJkRpsurZzf5J3MvSn
aK569jqufVUdFwzw0oktAkC5FgpBuMrDkL3OoDjNGrA/ny/IGFc4KaRtrrMJL2W6DDYCdqfp8/II
Ge+ZNtkgTohg1CZoiQPw00O2bhDcZ/K5bzEQT2wdhTteLC1fj6AdYD3NCxBXC1pLoAcAly7pSlSl
DuUsI3EwzE5cB98Ll5LB1f0hH0zwBxfPrj1tWSDjERIY6H4cyYZDuMppAAYv1PgQCu5HzekAny+E
aW47s3ZRIhW1xYGWXaEgNelyJeUUxufKVuN4bBDcUQ5wV3bSVG2odehL9Ca0M75nslc3tsNoPgbH
hit0xooZWMXZAHG3DAgoDBeyN1k/Z3dRkce5npcwMwADwE0mNF76F9b09KOrC1zpBsXsIwgiU6vd
gOPjHkhiA+ehbJuTkIfs9VDZbkqXkvg8rXlVHma89jjxddVDqhNS10CytYqlWVZDAVREyks/R0Ot
bUez5zZCtE0HWDLRpm+rAli7Bb1FKFs+1S6qbVLXshVJDQK6SzIX7GVbMpVpO1e81Zj4ojqytAFO
pAHSTQ+eyMsi43xNepUBrwx0STe/7CSyb0JZd0KrXACbSnZusNt5QkNRH1Iix+K4bfN+OIidVQQi
VF7UG9XINtKR7fxjv1GR2c5K+p2htMAFRhrawWE4FDuLydZ5RIcCTeptufOcHtjSUrON/pzKEiLS
7qzosjOk+Yh6fJA7cyqNJCGlG6GqsggKht15VrtzrrAPwL8OOxfrdl42ijeOttr52m6jbsuNxBU7
n9vt3C5vsZvTcud8c95aaAZ2LtjPBMp9vXPE+c4X46po3uKdRZ52Rjns7PI3kOY3qPet0Pkn9RHF
AughCWA7BkWVPBLssgmIrZgtJkWz5ymQ9P4Y26n8CajHAGgeoZBtGBAfAfCAqwI/QvWgYUOFpdSk
ZdedDDGQoVO+RgeLyijphUcvezY2R0Uvu0MWsnDUA0nwKhsHdvnj5cY/mce2Hd+wC6xDM0h5oKkZ
5xoduHTHEvi0YysbmkKRPFhBB81BatJ8Rvnhx6N/b7OFxEC8Y8kUUY+kXrFSuXAg9NIxjg3IRbUC
kdHbn2z2FrIH2jWE9NtRtlh8s0ZnjTWlHE2q8nx8znuxHFA+TkfWTDT98YLINuNHY0kgaYSgoF+r
+LF4DcRrVpiFmRQUORAuxgBHHiqmq8hzA4LG9VjwFZ9a26LrDGj2dB6AypW1bfBxNWN23pUZk5pk
VQQcdVmd4JVE92OD6TVQIND7RtCLcaDPZXyZj1CLkh/P/08BgZYaQZGHZkTJDW4/3KpymrJ8LuMy
JcRCxJWxh8gYfPofjAJGAgHWBSCbANE/CIi3dC46FZVpxwgcL0WbI1Bi+RfW5otR7jsn+U9hh7UQ
BjAfuhcusXiU2vkCaI/2qkyjabG6KBA7MjMuT0KGwk90/m3CD6IOQ3E4F1QhiQB1bZzDgwzDCCFj
qrT3Q367VmPzhvO8P+pLHlKvbPQ8j4v/ZH1cUcqAONnGf7Q+t8IG5z3sYmmA0yQZ60ALayVQwqCl
/zhg39tKQTFjsSDgJYk33vCb9fG6mIBvgLSYVzpcdIVtEjsp/JFVdPrJYf1zBkpMQfOBnhOsK0D3
PBwKrb1ZulFVaTevFuSj+rOjov1J3flzvCAfMINMhwZ8y5GHg3iKq4GNZktAubwdAbOla8SKMxW1
/hwVXX3erpETP0nI7y3t21EfLS0Ti0WsyExK8bSeTJ0Zjq2fyMmPY7Ud0Ye5KLGUQJZRsNAABfco
F3lYTNUD15BGajSXTTUCqJGhTRrWkRe4AJlEmzmjJ6wYspsfD/29BYLRCLQXQgDMP64eYfVdFIUA
l5oQIRUjqc6qASDwfzBKDPkeYzjUuwHrQTKWI/RZGTepJNN0RKEuHuENTP54lD/f0GDDAhYc7KlK
ScLjRze0lWBmANRagrwKnWzazzYHrQlA2KBH8FMMmlpDz5aiisCV41ALBbpHmd6kTgIGja7rfzKj
LSkfBxaWTYG7hMuSqkcTmvKW9f3KYEJrz45z6F1ftdzU4PDpBNLxOMU/yaTvnBJwSIP0QMFcBq7D
R7czyFAsmuRcpkoORA8DJlMqI6tOUCwBn5edOpuk981PDuefi42Eko2ohFEFB//Ow8M5RGBBxf1U
pjmwTEe8LdfTzIwt18DXEvGTZNobrUe7SqACELJdEQgq6cPR4hYtMs77MrVyFC8BRcTa1z666jmS
6VTVWQ6UG54AzloSzjFa45eQ+TZKKWDY48GN2RFwVdnxnn1/S3G46O7bq8Hd3w8gJjxWEL4VEP71
v1d1IODxgvj/tebwHQv3H+rDb2//rj3EzwQkaywV2iof5M8f2oN8BtRgTGIO/wH3sxX8r9qDfIYU
lOUY7m0RK2h2/9AeKH0mwVILt7eEvogRkDN+F1l+a0B+6KGM/1QgGXwJjcFgRKBNwPxRewUPqxEv
VQ+trrgUfd5d0BGuuUJHK3i06supXn0Orh6gcYGLApwN/K9elPMA6BG42wSYubBZ3BWJW9WAGYEG
YI0sz93N6F3kLtfMo8qnzRhzURzWhi7FjanAasZOZ/ASRO8UcJ3egKGMz+YcScN4DT0mIGamce0m
kEhlNPnorm3KKFMJJ30B6uYkeZtdz8AZS52PuzVxtykyoB1U2u/2ReZysDKytm3lOVeReslmu7pU
br7HsOuiYddIvYNSpc0une4qKqLFclk3dP68Nj6OEroJrpW1ErRiBf4AHWU2VgmcXfTcIToA27yJ
tsuu31ZlLG7Rruo2ZVFxvdQmvjKtFe+yTQAGGsVeLbsqPG0Ccdy2oPrmwJNclQL3F1L2/Bx2nWS6
3ATmEbsqg0sFZOdyE6CzXYtuuHGf6K5Q202sHobBVYncNex28qBnFwY5pcHgAqQBeADDi3UTvw0F
ZURHmyTeb+L4imgnDrVaovEw7Pp5H0x3qXJHKjCibAp7DXrPWbXr7uCQAAmeh6rQ9a7MR6IElR7t
in1kOlDvq03IZ1k8vXO7ut/uSn8GS7sqd/2fB0Ted5spwG72ADDsgVNg2UwDaPcPFJuVYNldBcvu
MJBucFdi9x1YFpUXZjMjbIIzcFnZeAAmwL1fNtNCttkX8gKMDODfG85NWVVC093pUOyuh2h3QHS7
GwJvxohqphaY2N0vMezeCVPQ6DZ3YKiwu7fCjQXYLHbDxe696HcfRrRZMqrNnNF88WmYNZtBjN78
G3B7uwy47YafL3ktnvPd67Fsto96M4BEfQVekDxwcBPtDpEenB5g+AATmwQqF0wk40TBT+I2a4mY
5XIhN7uJ350nEa6aKzPEBHwauzeFgfmz12j3rDS7f8WIar0Hro9WoHSj6HrcrC55tbleJMh3b4DK
F1eWhRFo3M0gw7oK3KNo982g3UNT734a1zb+CO8um9xsjhsMetprAZbBT2S35ZQey4t18+pkKAd/
xjSG9k29eXlmB16ptJpr8pLvZp91N/7MC1FdAgJh/kmtpb9lOWGXYE4Cu5DdrUNDj2yt/W4pIp3I
TsjuM9ocR343HwFT1Hzoywj0+8i56j1AUzAqtZtnyTfZ0B/mzckEplgwNYHnDL5YbV4n6A+BLRgx
hX2OdzfU5ouKd4vUIFf8ctx8U75frU3Ahwi0A92tVZnqF+CfYTXPo918BVRrfZv7zZLli1EVidut
WgWONtsWMvMnMRdg5sr8ZuyybHJt2uyGLyTB+wX7qK7BhRR/APgM1rD8/3F3Zkty29jWfiKeIEFw
uiWZmTVoKs3SDUO2bILzPD79/1HuOF3Jyq48crf64r+QwxElGwUQ2NhYe621tayfD31czx/tjTtm
GVnUhdrGKEMzB7lM+0E004a0mQ9txuIE+Q9CWs1feWv+oKnVRafeFD/Ia17e2hpVz7aIfAAjCG7R
xnWb87aaT1tpPAlzo57GQMk+ySlrjWvn15BrT3Y9Qq8zjTUGQ04MExYKpS8YLGaqZYe47Z1XfWpp
c6AluWGBh6fp57bOkvdelHlvKHLGkz9F0ar53jjNFYQ5Tej+DKG28hdll986iDxfdKHMERalBaK5
iCz6zVZxvRw7r0llCNdReL4a+uVOrnYBhVbvyPFSvcmTgxwVBOWc+ot5MAoXYtikDRZFrWG97aou
BuMcRt0N3VWJF924AqJnbdTCirOTez1vh/Xowo9LQT7L9s8JuORF0hS9CMdWd5wwcYXZQUfcqIJW
38CSgt2sfYanDwY6L7kRuslqvDeptUdBk1Wk0zBR4M5OWSXGIM5K76HPotXyzSRT0SGKDAPUWBfa
hykx1w9RMg5GIIxhrilriuGbTDsTZu4E8wN+rs73ahL4eEFX1vUbs0xr6CQ97K1iXjXTNw3NvIHv
9b7IqpYTZTb+WGpjAkOvSBo/lk6/hqMHRexgTPX6rUlJzINypGBw1Csh45vc6LwHrVSqDzxv7sW9
Se3po7FCHQyjflm6g7Sndr0VqfQ0n9Ptve5LcOQw7jW9O5jKK9PbZE2r6mHNFqsOxiW3fc+1um9W
E1HHGQ0CzKEum5ZC4tTZFZ+CJ1Ew68PwbTQnbTpQZDXSI5c9hSZr5joLzGSiuGJlccyzNxm0xG9q
N/26dlORv+YuMtLDsGrGGBQVb2N/hss+QMhtRHKX89wsXk5j4r6xkixvQnNc85i/OKfitb6WyxQM
qz6yOI1ZfDcybqHjotZoDpfZUOIYK0v1ocHytqEcFqlCZ+jk9D7NV8j1RV5rhu9MInqbNM5U+k1q
Zlqw9qNT+wu81z/ycq7HIIlLj0rS0lthsy7FSwEy+TnqI5kHsLXtl43V13ZgrktdBq5bp7CcZWS8
HQfAf5jNlXhlREbdUG5dptk3Js/Iw1y38u9VVC8fWovLrrbcFI7EukSJXxWD8409UP/pRuOPqrMh
365Dwi8FrONkfk8+8bXr+6kPRjQHoOdj6742arMxTpF016+xNukvyTxH/d6lMvh9sgxzgIK21deb
PI1vI2lSFQUKKV8vbD0DJro5wMjkRcfHVAWHzplT/UEthcyCSup8wBHg5D3JnhP7DeWfws/0zrtF
Btt9aETWJ+HEJngnYnNOgtJcJtQWZt76QPrjQ2/CnQzAtIcXHehD5m+1vFdOMoH353pXQdlr5iiF
VKqB7idNK/2mG5z4YaIO952Eenonym6sg6waBflpmbkPdlHFlOSdJn7d5AXkz5H1/1TAnH89LbVq
A0/P9cbXtKp70+RL9HtW1+sakLlqMfUcl8o0mFn+xVPc335cq8U5RCKn0FqkTpcfyPbl7zkFgBJ0
q1bvlSz7ggKc13wBXkfvkNYlt4TRtIYfRZnr+rM9ERtSZEx85coY38NjLgof+qRHcXs22yEU2tL9
6S32OoYqM+skmMaFxbZiwxj92pX5W5l0VN4aI7N/o9LpPNSQBd4kS+m+ifQOYLeKYuONYJO3B72n
UA/lpjbrYIvyy1GkpjUc0rnPvzl5gzJjrctCO2rRUnlhuVbufVFI6knHaYnnT565RsVxFmaEtAFo
o6Hg0GgvJ7HK7hB3eoTYoI+Jzm4O5BuYFdT1153lOd+z1amyQMIheMkhLoabVtjd7aSMKQmbajI/
r1mGysVzJpgbrQZPgKwplRDQLSWConDj7mhxiNtANtn0ZlmknI7QFdYh4BbWPmqeRWEXLpCeHUb7
B+N9qo0veblKnSJhoqW/e3E6alA0YkvACsk091RTkVefHEgHXmgnWTy5fIW+TOHnya7+NsaxAbt/
pdb8YeM2yLD14tkg5Y4Nqp5ijVOyXevFz7+n/z9h8J1pLh+LETem279+SJ/L2TdR3/b3//F0Fu7/
bNJC6QKWI1aTNmWif9D2HPN/PNfUBSgzAAnQLz/6x9PZ+h+xwd4bPoaG20Ck+B97OZ9BX+gOPXOj
7Bk83SlKAPydgzSmFpepiFuYvVCOzGDF2qA9DQPV9bt4tdL+CgZ9jkBtw0lpugZDCRBUQ+yAWvRg
0QBATPjIusX6PueZAeO1jBJNvoul166/P/oS/wAK/nXN8cd4lo5EkxnCyrG2dXyMaOok/O2SNxAO
Nb182zum/b5J7PQvTOlf1kN24IMJdxJ4Ax2nLSi56M4OV+NYe7EOiYH6tkY1vOdKBUbpD8/PZYdS
/jUK8IZDpPKEEDuIo4o6iBomlduoTL1DNGgwoyj+f43ntQmhXWivnh/v6awsCJ068lhDupKdeL52
ubE6lje7rT+0HgUed5qPKh8N/+dHMS0HXN3gjFj6blbG4CZpq5PjplKJTzrp7G1fz2v4/ChP1w7Y
cxP0stvZB+5WrH1UZmmbXFe947X+nEnlQC+feS9nrWUh9/LIcXyjmdT758c83+tQvF0gVrSNKHuB
uoClzsdEktXUxbi0ftWU4k7XGiscuyx9qQ/uNaz1wlCEGA4UIDYY3H5riBp5ZjFkDJWPNSqXcj2S
iNYQj4r87vlZXVhJW3KKhcMyOoB357OyarukllPAl0m69JZKj31jEydeyIpke2or5wpUfmEXPh5v
41E//nLQd9bKHhmvLY21vimMqNYO6WgnV8a5tISWMKAtCaYHXHk+TlS4yD4qFDNe3qgxSJFeLWGf
DOtXMx6bK4NdWsRNXA6QZuqUdbafP9qOXtPabodcCrhMZOEwtuKVsu0osKS7hPbsyisFjouTcykI
w68hddsrHUY5RG6fCERB+SB9CwjmkPSCh3uyxlfO86WhbB2MmNMMs1HsLhRDQ3mizeSlSwtTrhe5
/apLofd4RdxeOWBb8H5UYNgOmP14qN0BG1enbjuDWVlr9VopJz65sGU/blXQF5PMmo+tO3x+fvdf
2o2Ph9zFxFEm2jxlBgsJGy+QbWQdES3G4d8YBZUIejxp6tZ+L3Ye2f2qqdavSazf8FBK4XOW5uu/
MQqbncNsS4ts/3wTRlYkG+U5jV91ReKbEPKOyVjZV+7GS1vddpFA2PBonCelrtZDAZ40CEu01jNt
KMN5dpfbRfRnUXfqvUe86q8cros70LUJhx7/Ryl380o1lbeJDbjQk5id8nH4Ykn5m2iEc/j5BXR0
Sb2BvQ51bftFHp1i/BXQxFqEDBSjTjAVAPYyJ61/fpR9uZRtbhPYqUtuXBsukl3ERdGbIPYvW78x
W9PvSnMKrFWlB/C4+FROEMhr2zrxQstOptVPms+TmccwBfErUeTp5rd/EAio6Bnb9bb9/NF8PYhV
4zhyyxhln9sPZSdVd6vMoeiufMF96fDHlE17K+WY7kYZ2x2zuYtdZcwVgsxEZXf4PIzHpqnN99XY
voxRW9+1XV2BJCIrNxk/mBeog3yD3ui922HRmiup0NNI43G5ciI90nXdMne/z7SQH2lId/1adydU
r7GHglT0U2wCCsSi9pN2tN92Q1/MV77+0zVnZOQ00oV38DQ9WqA2FxS2wFbMyg3aCtOBFVHolS97
cX6PRtltsWWsvTVuCNq8cMcQeaUIpibSTgUCk8X7UqVT89MhjnnxgVk4CGS6t4vdLmiUSUbZUNeA
2al5M8Rn2ZdXVu9p8GEUVKqUIU1q0Nbuni0r6F6d00Phjj37beUuzcHMuvSkw4/8rU/a9fj8Wb20
jmzZvzg21Ep3EQHjhxXRBTeSnU6yDkfEffeCqkLgol16KcbF68M5Jgu8Ms9r4+7maQ/xDCogkU4V
JZKAqapuazWsL9NBa+9RJMhAz1LjSvi7tLhbtqnDzrIovO4mO9du0eRtyeImhvW514Z5OAhvTE9T
6SGMVqXWf3p+ebf/4/mFDyxiGKbJE4hrcZ8LDihFSqsDwBojVOd207ShWaRAkOX882knqTQZjI3c
Dq6EtTsRmVzXbLIhfi1oiQ56tg7Hubd+PpmGbAMbhkc+VFXQgfOIWi5dVUmx1BQy6+lkZhLQMXUe
dEprfo5y4vnluxBLzkbbdtGj+D3FYFizTbTSkzwygK2pmwWRaNflys5wn34nx0HyuO0OCX6x/fzR
QJxjdM5qrf181Ls75WoFZPRCv6sKyz3Ujj2+nydNg16Ovm36+aMAzxJCAfk1D3JzN0knm90167n9
V6333uWNJV7DyRyCWljNbdXiQuLXMMSvzPjCzvRg9HBDCIiXtthdELxJ7N40JlJRAxp6bXq5Xxup
wmxn1H4+VsPq/ZFd2zxT9r5Hbt0tnYxrEipVjff20Ay3hdlbdwk8jJs+cnoQZ7DlK8t64ZMCcWxE
D24iSGi7u79VDf4nPaOag03RNk8SVHbUae+syhxezZKaVOl6XdAkY3Jl6Cfbdrt0kWMIQyJUh010
vptwkSrrpiGixKmLgQsCtyNYzPjy+cPx5AsyCugDWlgdzvST2NJGwNfTyp5dkx6FQDek1KKSLr8x
a6f8CzP9v+NF21ikprwAHbAcY5ehZjKRiUVhDFsA6i9UG7T166iJ3LmyVS7OScJjdV2QAXsfxCh0
1S5Fi5pdiWKlqxdJERGvkmYeuiux5dJQGKzBucf5C7nzLl72U1RWVYFtgdXEnQ/soYX1uiCB1Jcr
yeGl7UAuxBHApcwzNmO2x8EFjwiVzCjbkQXqyaHVyHUVxerD89vhwijbNcPVyOJRO909Y7vYUV6T
JIQwC8GVbncKzTLOOM+PcmHVYORueB5juGKPvmIQUou0wwxosqjx1QSqQzW76UPUwEb4G0MRLiQ3
zkbc3kUoRxSN0uIMWWIDsa7P8PSBYpxSzfWuULYvLR146P+OtP38UfQvq6WJ1oXar2ePH12nNA+l
iOor+227Gc9SgR9CePQNAGz6Jog/H8To56aoDJSIhl3pL5p0bvChmKpbL7Ykorxpnk/Pr58hLo2I
UwTCfGkw6m6Hw+RK86lhRBl7LGBjIEAtkQlAEcL1DLM7dVPOY3yA/OOdSr0Rf2qLhi1KWR+VOWVv
n/91Li0yH9K2gNJ1lKC7+W9eEgOia7gv3riGWq2lByCCP35+EHwFhHRgw7NvdnvGbqY16WoLoX7S
igQ1emr3Yad7FIOfH+jS13QQ7BDkIQZT+jj/mpHMSt1c2Jxoo+YgVeYPIs/RsMabsteWK6NdWjvX
phbhOtJ2OObnow1zZ+PLhrGY01vRfTYuzW1NFA2fn9PFUQA8JDkQeeQe2HZypzWxUIMC0RXti2pQ
xWG2zOQKHHthFJaNRxQRkQ+1X7msrLTMS9SWpzrqVT5hfGUklvpZqAiKpg4CQdjgbeP+cDd5dKRd
nGV6bdv7CNWKl8Uyi7COSvdKzH2KdGzDUIiCMAywLI1tso+GKWwIl3rh4JIwRMkLbXHNo9Hkd9Vk
eb6Nit6drLe1pkeHRjnRPXj3ne0h8nr+u21ffxdZON+GSZkAtMXdPzJW1MEeZXMSAXsUOO3Nivo0
Xin6+MIapskM5snLk9t2RP5wZWNeOAa8BjZSvGlbpFm7Y6BVytKHwoNrVEDUCJRuL+FUJy9MGUt8
ByP++fxcL+2erRTHJ4U7C3PqfMEH4WBCqRNFpFKJP3Vme3SK9dpJ2H7t8xU1+KQgZOwgiMD75wCY
czy3Dp/VVkmML4BT3S7wXW9hV6orW+jpCjKUa5Im8v6AWr/9/NEOIlbaemuxglWGN1u4VDm+SPqq
jA9eZ1rf1VRMUfj8Gm5rtJ8dJ29DGglfkKTPh1RZg+dbY1b+xkQIpddYHxuox7812CaFhlGK34BB
5vtamdVN0Yru6/PDP92uhgmAAiWHKif2nLuLoCgbbKImSJDQw9Dg2s53bOC+WiUAFXrOwh/ktazy
6abZRuTRSjUNlNXcndIOQ71EGE2FT5rg0doMww1H5ZqQ6MmDA8K5BL/lIMDrpvBxvqwi7U1LVj0+
iSm2qIGLd9bnjZwEq6GO5JsmG1eUyK4CM8JUrrt2R1zYs5Zuk86SA4Ie7QvV7Yo7QelAutHyqDla
cbZAOYsM9b7qWjO9cgwvBD5KJTyVHThLW/TbTdYUWoYbjM7Bt7s3xMXsPUL5LBxlC2dPdsp6l5kF
T+U5mroeQVoUOZgcdM0H1cqyvvLeurDy1GMhA7ik1xs7Ybfyede3K6Ic7HAUx3Uc+t8mm3y+1FFw
wDPKXnbuR6OJ1U9fZSwCZXT8fCEGWHtVoV54udXg6+hbi0T53ceRuZ680Ui6K8t96dvy8ILsgJLL
wv/rfIJFWaYRFAcctLoh+jAuqekcFsOL7jGXHZzT8+fz0mBoi3iwA/LwZ7eavRRCacjk/RVp3l1t
VMOrqcSncbTxsHl+qAvBz96G0CkoOpvV2Pm8jEhai1MyLyd1ou9pbywf3N4ZT1mZ5zcUNNWn58e7
MDUweugt0MGEC1XgfLxcakkxLBVxHUVBqCkKmG0bU1Hnv/n5T+ZScuZKZGqgxbuYk9hFHXc9pmfe
ghrCh/U9RJT9SvMWJixY4PMTuxBTXXIquUU5TMP3EvJ0Lm0IYRoGA0WRBij/uxRzQgp/GCF34nu/
tKN+arhrrrycLo0L3MiQGHlCJtntlaGfjBwPOcadShCceUjkK7FQaGzLRH2YNv8ld1TaleTuwmeE
oEAK4JB88S+74zA6oyx6LSbU9aAEMNw9v86aKnCc7ppO88IOdYlzFgwgUGPYT+c7ZjWnwRmnooLQ
DVMxH1ZxWuzRvRlauJETepYrQMulqfGs3son4MU8Fs/HayYnbmbXKylxSvtWaNgFFbFVvV1d2JrP
75ltB+7SAJcsilqDA2+LC/J8KGwaRY8wuvT1OMlfyRb4KJWWOv6NUbh3LWFRDUSmeT6KXtRZYVtE
kybFZQTKsnuvNDX9NBa22cODSLiAuJbYC107RenNXmpGya0ZxyjdzpcbmVJXCxc0CM2VEHlpV4BQ
be8Ykgrp7ielr3Y7ICxiA/bvxn59KKpm8m3yKd9p0p8Ue0IAAm7BbB8KFTAx77rzJYRumtpmzeFu
lya+K5PWPHZZ7Nzq81zfr9M6XJndhY1BRAaJ9nSHMfe+BZkj6mmGfeZPYw0VfsV2aQxjzOKuZREX
NjtDbMAYGK1EeHY+sbmWhuoTzvE84r0aFnAHQierXDx5k6h99/xGvPDNWERKk5AUkHbuB4tmYy77
GOqwjfy+DPl1mt8x07QijEYBckH+pfr56MiNDVpKTgIlcn9tQ+4tZjWL0k/HJApwAQylgE3eDZZ2
kHjD+PNsTFdugktrSlJtbRD0hjNty/DoPaF6bLsLTZJjdvmdoJp4QE6HOAzL5ytZ17WRtrvh0Uh2
DS0MVlDp10OfjLeE6j4/lEsGJzzJaj7l89/vwlXjYasA4E1usvmSng9X9K2LiAs3vH5e+9O6WNqb
1Y68sLG65qDN3nLn4ML46W8Mam9hhePAa2k3aFt4k5G4JlxpTN8QKubZB4xgPyCsafFHaszj1Cl5
ZcwLz7PN7GATWvOqB3M/n2jnrlWXmm3p81JCrqbKOwR/+aclUindusziK1ZyWEBpensrpvma1v1p
Lr1VhQihZNQQfPeHHxM9ZzZzWNmDMxsPgygXP1dt/E2LmuHl6mrRgZYR3Uut7q7cfE+jzrZdOSnk
0QAK++uIPh9e0oNP+pGAOERJIz6kZioenv+gT6MAr04HHBJaGTja/n4dnXJIEqEAbKJBfY1XNaqw
pxUaNmTRXH3tByv+9vyITxd0e+cCqdE0RVCW3QU51Rea0lsyiAKfn2mTG1lvPHz7YOFTVjlaJmp2
hLH6ZroepddYC5dG/5HFb31ftjz7fDONWoXpJ47Bvl7XKkeyz8EEu6/UFHhTjh9oUkbrFNazTjsP
wGLjj+dn/zRImNwhEMIpS2xNXHYHyKYiQZpMkBBzZt7y51tWy+kklOsef3okIFKQIUo5PwD285ny
dhDemnNLlpHnlEgr3GnBd5Oa/tEereWa88TTU4orDs8I8kK+KbDC+XAd8jxEHR3Xicib71wgqC7T
LERHCALXl9Upxgr5Sz059SldTPnx+ck+PSyMDpTuknzjiOtu0P+j2NsPtBgZMLL3YY6l90Zt676V
luKnj+Q2ikuhn2oPFNPdc4kT4sLSRoWFRtW7Sxf5anRn7fZvTAXlP6cetqe359V0cP2wdWMQpDr1
G0jp0UIRWh+vccEunHyXnQFUiRMxyfUui6J+inNVOeCmiu1e6DVw6j2jiG/h+813rttrP52SQgrD
vZg6GZKFJ4ywLhZL1WyfSNNS85CPbv7KAvc6FPEs3zy/hJf2IsxL/S/AEl76+W4o0kTnvbVw5ztT
d6vTkQmBoixCsUz5bY0hyV1Dvf3BatP6i3JUfeVmvhBjSONYUlAnCPF7brCVZyPUD5LvaI6xImxA
FN9IF6Ggr89O+14IzRp9SybNe5nES3tl8k/zAjIstBIUe0DA8ZI+nzyWczU+RVhjGmulf+FjJLZf
Cg5jMKg476A6ZtnbWJutvxFwGBh+AR+ZsLPH/vsk6Ro6BAGBGU0XaPyGtyMy2M+GM2RXctfdcefk
nRvR7e6QX2VEt9tH143oqCeWd5mpvfmP+tDtgpv8z/rQ7W6sH2v9yCFuX63/dxziLn3Wx0Nt5/pR
FP+blne7wPdjQt4GDG8WdDx8dgdEG7HCUEmqwihpnekOA2SJz+5SZ+2tuaSe/s6hJdFPZnPboDDp
OY2ImXDj2Durm4tsWqvyYtogqPilBb0p3JCr4PnAd2Fqm7WeQAaBHsfZp8oDYpFIA2AKvXlxi/vB
yM3spjcLR9ygC+vQADk1Ef/5QXcB58fUKF1uTK0ftn67U7K39UMzPiQrBiDdZLT4fTizh+ulGqcT
Cs2/YcqHjgoQgAcCzR6ALs63DEbFjtQiROZW08c3ehstgQ3x9cq67iL6ZqQFSZw0ijKtSS14N8qQ
JwhYKoFFcYIVfLBgR/0aJwTvQO8y7dAt3NZFWZdHE4nmlXD+5PgxtEvxGT6coJwid6HOSys9ytLC
pJlbpZDVWhgkfEz6XuCJC8el669Uoy6Nx7ngzieXg66+O4NqlbmItFoES4Y9Sz6tboi+MA+sAcOa
5zfOhaHA7jczNghOnMPd1GoUXXg/ekYQ8erYWhmtuLmjYM9Q11z5gLuMYPuAsCAosfPH2TyyzrdJ
mtmNMQ8Ts+r06l5FZX3SIgy4Bf4pb/uRGn80DWmQFrP5YjKt6cpHfHIut+EpjZDUwdxhp54PLzTP
IwdGV8wmdU/aimBZ2i3AtI6pQiMr/eH5lX0SSKmL4G7HP9gzTH73Eet4ziIcSSJ8ujN5k+XleGgS
LBeeH+XprM5G+eH3+ShcZ57pYSFjRgEVfSeI8cEO8hnmnaG8h3E0r3k6XhoOdHYjZyOkYH7ni2iV
YKeJa8chQUwv02Mt2yVRgbJyM8eYuJSLKA9Lnyfy+Pw8L62miRIQGiwESgCs84EVUCMcfoH7Ek79
X1RGGbPqfpIOxEdCVgspGkSHChAn/nyQvFpyZaPnDxam88XTK9pTzmV9BYF7OpVzD9PdGv4iD9Pd
XH6Rh+kWXh5tv1/pYboLH3QA4Kv9ag/T3fx+pYfpblv8Sg/T3d74NR6mu3jb/Xc8THdx4hd5mO72
4n/Tw3Q3wV/kYWqen2sr/Vsepk+Tj3ML092j6p8WpvqwRsOpmupOHNe0zYqbphB9f/v8HbJt60fF
RcI7wz0yKN0N98sNSvd6+f+WQenu4/17BqUXFvXMn3S3qP/0J8VpKK6Qn5H60UMYNlCQ2F6nbjJZ
JcWV586FjcMzDhiLIsjW7XsXW35ht+89g6offkW3731A/pvdvvf7H8z7cae+3af6dzr1PXmskWE/
btS3e1bsGvVFMLMiHMMWRK70Z2l1j+6ozYRjnpzqJvuaTv/bE+9fqkMooT5JtHg/QZUkQd6YIIjp
z4PYP91MF0vP0IH/301MDUp3UXOgRSz+nu8u2JQqpwSh+BQtNPFIb84sSbVEj7TUT7KxpJPHP9qi
q4UOpnrYj5R7ceX10tZ8P861p1WBrdS0/X210jCEzpBF/6fR037p0ypWmy6YhdMW3/9qIC6GJTEO
qUZvETz5jD4t7oY6Te7+6gc+OOm40Lu53Lzi6LbRps5RSHrPBgt+bBNtU+AftS/1fHNLSE2Vux//
6rxto6XUv3sd2qcPGQ9CDP8qZFFGScffrb3XmGvpQIORsZqju7pNiz6gcltO74xFs5FL/tViCysy
NwvSpffaD7Okm+XrtrKwqss9L6JTBXOprC84bA3mGpoYZzoW7WLXeDUP/ZjOWh/keo437k2rOm06
9QVUK78j55/VwVgSFzFt4TVeQYPjOtLDSkXm8rYaVqP8ntelLZIT3b/TTw0N02EGYHJYa6/gy9LO
vU+8FbLzYOArq6yRTpqFDbPkszHEOqJWc8U29l1t13BavRjriMPc6U0fDI6Vpw/d5kNThJqpDd4n
K1qc7ms90NZlCACZyuFdR7cmzNewV8tbmp9pkWfcKFP081s7mfuMV0S8Dg31ylTXJM5RAvfBT/bs
5PGHxHLHRjviIDCN+W0+jIN6cNRQj6OPbMaVD9PkVPnk93m8NZrcqrL0CUgWWv99ah0U+7y7ytrr
P66LOUUz/RisVXtwOzPOf5e4jgsc8DQNDy26VrWpcKn400X1XWUr3fpDrKuM6XksukbpgYpHJ1VB
4o6tQb+8oanansZH1YSTY49KwnufRksBZ32obXc9LfRBKb+4VqbjKglfQi2YX+eDM32lYjoK3e8H
ma1vmgFbue6kdTRMNX2Rlq0VB1ncm0NLq75VRH90bSkstnJk05HT15bF0D+7cqHLrK/kvLa4KaZa
s3yplbcad5Oo5fpBli2dZEwv6sv3qFvnPLS8SJsCZBGrQ9/dPirDsUoW/SX+YRGCf8D49WOuwR7p
w2qwGbydGufFsqS2/Nin7mYHGVVEoADaXaf0ECmREWs3zZJTefXLRi7Ll1IWHNRjodNy1cQqVccc
E52FVrY6jURFUXvBVgL39FD1murGg65oP4NDsMioBdwPGkpOL8C2dFi/W0qjihVGqoMFhPnYolfy
CEWodFHMYR5KD6wU18LpCwxLjYbWqMqj8gVGqRosVXx+oCX7S+XG2TeraWfc4fCfXfW3tsL900W1
s0Re6q90uoJeQYC1ht+LdEkVLs4i9toh2PgQXXfnGHkj+1dZhcdge9v2uaqHUzsjDe6CkcYGjh3S
jyyyXpRmahcD3kWJKtVtT7RO4UgbHtI7Ew8bKxCSJuxZkAyTW4vb1SwIXx+iHGfP4W2ZmU3mHboS
lzfjQ0uHYs448jPLTLeapOa8nGnGNd+7kIY6cajjVeIe6i2Dceg6LGL10NOmtMXUtFmamwY/D7ph
G0VPh3N6yInJ++4WgprHsU8X+09M6ybn3sBjWv/qJKKr3hcOinxYf5CVIB4iJK2+CzPGCF+MKw56
dH0ex3vdrp3o/UKTj+Gj3ldtfsrz2Bb3nYsfVUD40n9z+gKDo2RY6ts2WvPTZEW0xmumJqZ3ZjzF
L2mmqV57KA+OIvey19TV8EwNCsfrrPduYhXZAbipnWm+R38K9RqT1QnxLm6MUvuM4ehS/86cEvNz
b6cd7N1B0zycWOncGRoqG5YAHkJunqBb6/l9t5SRFdoTaXqAw7RoPpuDcDXd14qiqV9oVublb0VG
Y7IXRlpZ0ZtGJvPygnhXf16lsaiPeFU20e/OmrgFvfk013noMQL0PsMFaqpjV2mJEyqjHpcToDoN
7ca5hDR6aLQi+oNGe0b7Btpqgi1gjCP9b2zZij0XGdBdHlpblOV3L5IpXeW1lnWgdeHYmn8kcqTp
jK9VrWBXs0f0+cEyC8pTWrn09rtyWZv1TmmpRNov8eTOPkax2+vljZw6u3OOutVixXcz81CIZgxT
3bT9c3SXSf9jzCS9j+lMbchBC7qe1ny/iRbvaBMFfTnba4hCAyPsACekOJ59z1OJhVajUhsrtVVm
M9MPdCmb8g9nKOhO51du06GWVbHovW+NTPX6I27kRYKtZMVGVz7MsNUWWE0uJk20BmMo+pJA6s7t
yXXHHA06dY/mZaJZeF1AlMEyyK1m4jnUg274UsALbX00VMlAaDRot5bBA4FjaVQaDY3mamuyqWeJ
dD/OOA8WH6NJK77HZZ26oJX5mIEG18ZHQwMxC0z2ohngcdkWv3fD6r6F4MWN7dHfcX6wy2m+iTlf
+HYrU5UB0af57BoUfrlgx+xLB6nnbb5U6Xc7sfripq5m86GeJvsB4Wnc/7gWvsSu0c7oHDv7jrZy
anhHpuACSSvLK054JafTCUOTiD52DjbMuEB6rXWzdjq0Fui+xcfKcPhY2Ijetu2iGyHYqNJ9VeN4
EEDEw47AavI8Paa2Fb2g/cJS+HWRr98Sjfv7tu4F7Sxr1U1QsPu+OLRYXx5tdzHoBa+X8YnHB64h
9ZLVOqS2qFEhzdcrPRghjYct1YvhNHG9fTHhYuZBE3HHBBYutVg6LjnOQCOs1h5/02nIbrtkdBbc
Ul24Y7jF0d2tTuZpDJNF6+Y7POryxU/T0rnJirafsayZXCPUNa4hXLEZKhgqkcH5MIZIBq1RYcNs
zmLGSHSI1VvCnfiEeSeGwWLxug8ydeIPFm3g/lQoxx+MFvsTVkTT9KOi56QKdafVOQ9V6uFXjRm3
52McU9sv6qiYs4eqWsvuJGSX1rdzhUbnOJi0zv2QoTRvQtk4GOmmVjdRBqrYmnbnFfIQLa5eBSn/
zevtO4CEL1imBn0UCRGQo1ROKFdyEXiJC80p+RVpIW+Xg/jmTVZxH5v0Ig1hNifMQZ978/T/ODqT
5bh1JIp+ESI4gNOWZJVma7AsS94wJD+ZAzgTJEF8fZ/qXUe8ti1VkUBm3pv31HDR2Sq3dfNn4Kup
s3pvxdln8zvgp+2xFAXBCH2065SXjWXcncG48j8ZwwISKFXcV6nfuOXbrIhBv5ZlsXtpRKWCBaOJ
E+Cdbjs+qhZa7TnyGjJtkmUN9dkfFgdJP7EqSQe7DEdWbTh7UxG40FTJL3eCk1278WWPli74Cfm1
cbM9FI0mTTkaF2CTkzEPQVSOrFqXfgJStNwjNx/4Pscfk3W866FsuuBm8FtT8IcEKOE2Wl2b+mwG
EWAdaQ6zxdayPffdJh49rFXDlzuoIxUxZ2Y6hWYt86qc+Gt9FSVklSYbFV8Y1UGJU7yP7hKAWfKK
GjcWK+mivfpWlnjy75DglXfyh7lPmqqu/bxfkmQ+a1s6/C4ufFiqJUn0447d47Ywc/DmBccS3/YF
ewAZAdvli43K3klHnPd3ZisoLrd9p8jb7Jh4eTjI0mQETyXELlamfjomz/uzyKS6r4F+yVQ7fqk5
DJOGuN5i42DcLUjP2XOOP2JQgCghZ9bui7dqIgsCLA7du5qnDb6PWvTa/+C1PCxhi4abLyxqRzxV
1LWvdhVEu5BHXd8NbrAm2UDEJAU/cdpkrJdV7F/zVQXb2a7VvvCokq28sW7SgJurdZGWYNmqayKj
p/CssOqodGONKTqTtwzSyoqiq9JqMO673MXFEMU2Z3MGpLScEn/DDVqYqriy3uaQQxSUZXclqKfH
31Xj7+kYgxLMlnLl7ELZiFSX7qxIdtcz+65P8IO8Nkc/gsYwRdplQ0zQs/B+hbXYrmTgmOa6lySM
31Gr6BV04xw0xPsl/D1OswZLvhjJOjwLLNVvwG/dt0fU+n/VOOz/Ef9Sfe6lau/7AG/e2W/F+GSb
S1B/AQw5d3ig3lef+O8rR/n966yEw5nZudY/RyZsKQqcIhF5QEHhX4WucdWN33bLKzp7UNoMUALd
m9W9/zKzY3ec2EAa8wogA3eB4NbKsPGSj1W0Mq4pBnsa1K31wydUecIpLMtMyRmPvjOfRTRH5lfT
J7G60VJRDuvNiSBCb9xDEEx7gOAjeXV1GhLn/9GUbM6nmNac7rVZj33Jt24q/CuO4uEBmF/Biq8P
yDmN1iQEHdqQFUAqVPLPmT3Qtlok/xYZ0NluTTEd2eqsAaIlaFwYySBciXh2IdkVARQRfC+XwEjj
dtPnvl9wyWXldypdEuv/RUGnB9IJXE6rxfwrLqLhq+sP4d/6bKdfuU4Y1xny4TyRxYHEf2ZzRY1Z
ExRAEKtqct+2odh4XQZb/gl7wJihlcVnog/xvPre+pyIZFdXIxUP9kkdsFUcdYhOp7pppvMuu6U+
Ja4Bv1mt9fGwT61xzq3czVdEJKlKA3Hov6S6Dx1JL70f5oXxoqvWYVsmJx3dfi6O3FiVH+PeXG9q
8b/2nYUrdnqO4XPk8LCnaI2bB6/xnH/e2u0/NgHL6+xPS0i6cdu8VgEpGaw0tsvtGpaUSAFAOLK1
cW9v1y0m3COfIJ3+M5MjvvqFEPVL5Pjxsx40sSzLYNvqsakniWzabf232y7zke1HotTpELJtcW62
653oiHWnQTimf2Uoiz8HCcrPK1f4U9hW+qPSAYSYjU/tbzTp+c50k0ut3/Odp2SwgCJulaAOhJJx
WduVC7YFRx4tobdVtf5IZtrwtDFK01Ud1aVNiIP6yfU6059Hpw6girkkGp235djWtJnqILpCuXQ/
Qq0AQ7OSLx7lHPC6e6xdRnkz0MPnhrX2OZWRiehKcRIAj1nEAfbaN6xwAE4Zbi2arzzvHo39yZs0
sqeWWl9FDZ91muhOA/RdvRVG9xLxkBWblI+AmKs3nBft6+6tzIFo/NYl9cdkctKCBIYw7cLYvKi2
DL63IWkfYOAs5a2phC9PSUwRc55NF+sMbi1UOKdwyxt3ilp9NiZJXrnThzrfgrq/g2ex6Zt5aMM/
w+aLB9MIG5zduKp+Q5qw621UzslLlRSHYfdRsWPAjCUosqOaplPsmkhdT67sm6yUo/wvnohpP+m+
aO+knQHM7+uoszlYwp7Io0OANeCbueoQPPfztlX2vSjNYe45LYLunHjKO3Uy1tAwsExQzo4lzV3B
L8+ncyTHO023/xoAavmpZhZ901pP5HSXghogBw/s/Gvrprtj3e9yhDO9Cs/zVo9RxhaNfor0AS+Y
r9DlA7B7mJG06zyS6+abrBpt2KdbLEIowpTtQSZa6dwE286vmbAEQRZkt0dRyvss/5aTKH45o1x+
S+z0f+CYHXdluzYm01Wb/I73bfiPSWD7NK9j99UE1r8Z+DXnDJWc9tewR01aBp5/gKx7Utz4/dLG
/LvrwRMlCr2fCsffvNSVxcQny5nBHMQLlpeWcA+afQ9XBKdnND3B+1Z7SpBv496Nhwj+bMcSPERh
M3+2tZK/faAXVbrIVn+pheSp1LTMP7OlG0L4IEHTQiRfl/gTSiZF8lol5b0NJjOnBx/iA6nRTs1q
lVnvx7WkSHHc1c2PAr4na12TCNODvuNDYM36iOtQ8nN7IyshGDeGKzAfBQjkbQa/HbJWSvNv62G6
KjqxPxTxJYE6BAakU9AdUZktgOzXE1XT0Wdysc07Nv3iyVvDfUs7+iObdeWlapvkNlz3IZmE6TaG
0ZCVPgv7t/F8zJ9EvcnX0CaSs1vY/nnodfw7KH33uElUqV5Hdhn/aizWD8RHDMe5DuvEpLBL/XcH
PIFOPW5glv/ryX1pt54roKiIzuSIDaNn0zvR79UfaeVwEcu3atu4OvbhYOsHHqppb7XT+HftQpNM
7esPa+6DtX6v44FoOnqGgoY0loQ5LVQt953tNfwU2U5byisefgmxt+WpmnbCjxo64qwtlXrsffoJ
5kBwMa/aqWjuZ0tQwlUBh/gmXlT0XXayv8W/ThXTbpQYro7NK7CraMqxIRd7ZmBXVXkcjBjoWwZi
xGWyN/8AB0n+3QHChGetB+8chBsVfa8bW2fePC8fzrQnTyE8W7z2PZEkqQq6FvwB+Y934BgHkASz
qn+WUJjHbNS91xLKulF7xQRH+an2y+7nmgj41t0++jbT0jX3EsB8wlWo65eYJN4o7UZdR2c/Xt0z
3/FoqdxYde68RXxgLmLdnaV3b8mDNljuW7bj9muFSvQaCRgPtyRHcjmCF9mqlLNIXCeVY7YrB4Z5
lM9BzJZ6UHLIQE6IbkFD2MdFt1NysqZSd0d/zAENWHD4aQI/4bHeQ261PipBMbbr3F/X0SSLk8V5
+B4UFzJKYpwp5ztU9zDDYBQl+8LD3aqi+62FGr+SrpVlFlKh/EVkOB6aaNdVTs/c/9DmEO2TQxSD
Ll+SkSFwbgZfEwFfrPX84fowvQgGXuUK/sorwzzuwQd9KQtBBRiR5i0QseZbcCjV6QwXX/lXF4gp
K871nPwNIXr1p2le7P6xF6v7M4ZseH1sTsWLY7f1fej25G+3Dm11jt2+fyM8Xf5eBwEsYfdF9+HU
3LqpQ8f9y4omIXgpTIazO4c8pUm47u1JLGsSn8xajPX1zKx7Sb1euva+bBNqFktb/DOUcDgy13gk
A/gMsNu8HlVsUuJKB3OK42ZQjDn87qcyBCcQn257kZq5Mh9aNpShXuT20alr+WHyYZv4p008RUvu
2MM8UDxP9LJHe0xZx0SvPrGdDwhjQhP6FMcWxuXf1l5GCoczTc9xI+L45BHXQ7GxTzBdbB30TKai
VTuZOAx0IaZz85gNcDn/eUfkEP3L91B710Gyj3+mYiXptIjWyc+YMdPWHJG/MukR4TDeLtITLTGd
vs90iHA9psTzWHVZb23wtDa7ut8csfe50TutUGmx7WWVmQmSr2Y97mfPo8aA4lv6tJZjNysEGtO/
NPPqOfzft+EHICXqtqOxTne2TH1lFvZ1+AwYQ46pOdaRiZvqoh/E0vlRCitm/Y+FeAPW3jmcMQ/5
mse8m0XFwGpMyqftIBgnZVCinKsNUPWeg2IrL3NomGM8Op58aItieUFU6ejtj6F3L8d3+1kbuXJM
s9/JH6+ppiHYudsrPI/kceyMNlfY9ZunpS9dLw/IiHjWCQGOZHprUt/7cPeQq1zgTNnsLJ4rzmvC
yOitq5oSTm1Tbm4GQLq2D0oqWrWAa7ADEbIG5jRaQXinaO3e3tVz7F7P46hBmqD/v1Y8VRo6cBtX
zCrkUHIY17xQNbsTAM6we9GIhkF5tZZ+bHPCicchD4pGl3C9OvBC4VqYT9m32rmq6FJvmKn6j0O0
h/8qP5Er51apoSrxAEVp0LbWOStbKpvPkK5f90B0InWhFy5kY8g2QoSpoy4buxGIzUE2lokBx/p2
Z8yLH1b92MlQC7J+T/aJan+PHxCJ5l8FFjkHIimjEPJsd8vUz9UIAfU+WZEdxYJ/1K25m1pXtl+i
qi1DSZmo1wKE6HjqIpEcmaA/eEpMQ+XEdhH0G8dZLHPmo1U3he+x1wudr+ciI5mhzyMq1zlb0fg6
vkk70AAYGcxZ0IzyZzK79NUuS5cvSD4uI4zJXSmE1hVCkIrRpI5Ij09rTcmbk8mtbjpVUWNspdim
fNsrAG/F4bTUezDLGtW17o2nC/E6W+k/4/21XRroImHC6vTzfOpQ+x7sEDAAq8pA//q/yAAILBm/
vXU2jwIE4RvExKk9JfPUfAe+4jodN2O/9kPMj/7RV9/TQIQHzYFfPI5HH3IEFYP3trWSzN6N6dN1
5A3e32LlyONX5RlDF7VrDnJu/hP1gsG8tRuJW0DZWlaSiXIhr60JTtxz8hEFbXmhVbVj5pfB8Y5J
WvzpUSa4yJLKLMD3XNE8kFiKnlTqafs5HnF1XEW+BX0wetH8PTtktlCth9+CIEcnoxmNf3je3jDp
nc3yS5iOyrrSq/PQNpeTxlRV8dxzfeps1+52hzjC9i1GZvhSRb244YMJrAyRZrr22bgH9S7/ZP/o
GRESbbhx38XRxmE1R6HzMsV9M90tReQZBKZuC/IyahlTEqMde9frJInKCkhYCXLt9sc/PqHLYUWp
qbKRceqbu1cMS9VKt8UODGOPkmiS4JpL0GWu3RXQPD3bDc/qkjRwTnrvuOfY83vaD8r7NIzF8K8Q
nQQrZqqJVnjzh5fGJMueoZfXyzmRPaEvnqnd55kSxMlCQMVPC+X/zHEQV4hPW0Xk4KX3nSmyS0MC
fNHBwVKcdawnbXV03Eg2Ar/joGlk2rmr7DIekuN9WxvxWrrNXCMFz/MnZD+mtRvUEpWuZhufQuJJ
/87cPI9Mmt0nMnsH72nCC18wsusU+I2LQmya3p1/F0z+nKvGP9anznGX7q4ItbXpxOsVnllGRP9r
xCX0+JI3fOqWhVrej+ukBje8iDrDYlt99UCMKGQ5z3j/ZqWQiUZVPXlsw66nWW/zqQS916QGHDmf
7wGDLZtBIz4rV6mJj7qkVhgg2n85CmH61C8cxdnRGJ7YeHCif9p3jhd5rNtyN8YhV87h7IubRVtg
PpmDRzJbMCFfhUTfVje1xB5/uebIxBzHwaf8G0rmdsTQeEXGWNe+N2ZzPw7Vxm66eQr86SiH7zDa
GTwT9EzgaoME/Httoy2Cu9Wh4QdlNN10i+Bv7uZtoqSVURtkk4qDf+geAWoHLoKLWNyxc9XLhTaL
4HjnL7MTxuI9h9qWKeRD7/6YO+dXK+TknQRwHNhWdRtf5sgQGzlzmf/mZMkNL2r3jy/DgsUHvxCU
FpqNtj9FbIeE4KC2RV/t5KffMvBx9nTgEfpJtdQDqfML4WRDDLDs6nC1/+EEff12+FP1Z2U2+0Gc
p1tdoVN3b1NTB98zfFsDRCpxmPmjzX3ByZYPJomnfT4FW+L+xTg+2tQrGkIAoFFIdeOodv/d23IO
bj2YqnOucYPwILPY+Y/30UxMDyd04nprD0o8nDfTKVSiGk/LXMu7hbQJ5CbTy+/C75gEuENc5NW8
h/s5qu1q0RkDR9AxDGIpH8qg6fidUQZEZnhej/OwAk3LIJWK294dQB0WLGR+q3HXgMAsRa0oliLI
DsbV/inoA9Nko9P6zoX6Co6UYKLgQ3gGRagvY0+fGxrYl0gJd8ySQIjjpp4r7xUSDMkAjltRG0QD
GS6DdpnOlJc6IC2LYnxse39sL5TH/qeYkce4pSF+pNYdo2dnCbfyvAvd/YlGqqMM3KXECAGKi/vM
a8dXPZngP3YumM9AFB2idNY9yxfvkiRD98E/Ds/eqxlYROorUHRcSUH0yBrDqPKYe9gitccTh5II
VtbrNtIhziUAl/aqaKeoufM4Ppg8V5N2T0CR6tdGQdZLvWAX9WkYAl8yzvMYK486tJl3rBXtg7Lq
zXfoHNKOPIuSPz7bPOw9C1W9NmgcKzfN90KIrsxRfNzbcO/goqGOhrehioVhoL+bnxUf5RscOZaM
TZPUQyYUZ1+2VV5F5HA/TOOZkVD5tFSXfI52D9034VTrb/Y9eP36tcCAcnSjWSCuxYvMSjFixZBF
7N0sDe/fJz4BDkgZ9Qhdns9hqyizeDl7b4YqWTNiINwEcyS5iQtNbB1OGjYQoNGrVpP7xm0QFSdp
aCJSqY7kDB9SNPfBsRdhGhvH1Gm5kUyUtT0D1ev4CIPvMZiq3yApwUFDGVxvBpeSKI/xQMEdVDD7
DukM9T3VWXi/j07UXwXgYWE5Bx2mGioHpjXw69w574C3MYCxJQ9PFQTDB3Q7fpHJr8vnjqbrt6En
uGCABwIOLMDXXyoux4NtShtFGYN/ZACk3vluHClTznAIF5W14DNX1mf9GaTgPvwVrQjqO+OFwTXb
1+vfcGuDE9DRdfrB6B7NS7MUeXAoTeG/ZOvq/w601e+W6eubHEOsE8VIok/mq5LqTU+U5nm9jfJR
Y/dQmYsGS47Sdhgkhw364eERQ07o5j5/Rs3AIbhWTMu5SXQ0Z42qF76KPeLR1/HYy7SvFvmWYD36
rFrXvDlTFF/Qw7357AmJdvOm2sQz9YTFoTLxw0dx90vKdX5TZnASaJTwMNmBwneCc0zOFC1HOdZE
HoW9pXezi05rAmAYNZAgz5hrjMA/u6uRnyDz5C/fidZnCXyWeW68LX89p+ypR2iCxrxA1rzp+AUp
6YrVv6spScOsrbdlwLNCbjVhnz7BtNuIyYJXvxuvuAurr0juATS+5rA+OU9THeZSBFGdF3yAbhYQ
nci7WvAcAP2FjHpPZGiDfj5i2AKS6CK2uHzBMp3BSt2DD481ipwa3wiYav9TZpuHvKFafuxbKs/T
sZUjshbybpcnzSbN2TTI2pMJuyk7IgUiFB+P05xgMRNTFE2x+TMqR33SELDHXXfCvnru4bC1Iqb9
VZZH8+Idm8vQyAUnS/C5P4wQfT2U6TbWw+Omi+lHJz3/19zT6T8zdvJlNuG8+nOwWfdRDkf3cwkV
JbZbNQ2esLrw36rgGNjAP2r/h0Dmrq6Hvpw+q224YNTpQVS6E+Omr1anVyLd1oT7Qhxrg5yEmPga
hphamoqYy3Sfev29HUXxJ6QFha5Z+7yfPkUC1QQaV3Iawr3W2bTY8perXcxEI4rOhapRIVcEw87n
XHfET6fr6rnPxt/NcwecbGR0KZtPHHU0IYfe/jN+xIVeLZeneFlkPVzbUfXvA4IwD3TSQu4UDAYc
UOuwYFOGToyiACZWD5Ue+yibpTdzD+/8ofNUybUC71ExHG8dcbTXEjTzyNqc0c/lUmCxaIiq8FMp
9+rAj7aKd3rz9tEPGHXzyTficZx1+USgDeG5hdvLG8/VzIDni0WJFy4ICIhUwxrnEUO1N4aK44dT
7l5wAs/MXHaba/cHnsk+zCJIKZaMiSlElW7c6Mg4ZzFvUHr1z8cKIiYXk88XXmmk5JxXwN2zEsfe
u6j80eSA4J3rXSC/c4aX5jMeg+I1oIrhcwrF+uX6FpWfBM8azIwbHDTqYq/e3KIOilsiWfdHkLhx
e+ZV4GDDmsddOQRA91Bgt6mkcvdn5k3dGHJVHMN8LyRnSxpB11S5buVkUxEexSNritvL5sX6a5Na
ztdQt6u7vkWKp3IbCmRJGYCG1TvHXzSX14PPhj2z2Hq4cvYJZ4+RYrzjV12wNkReVWUHK1ffNc8P
/wIZ7ufF6cJ/o6za8CTmrf+8HA90aWgeZHlTSdxEhemINUQv/Zji3e04hfyy54YSMeMZZhQ/2pno
QOwxYfHDRi1EP8sgDi9CZYctT4qhHCmJZH1rg54J9lgEyC+Bwf1xnsShfqhk4PLspm73eHxm/1YF
aE5k3jhwr3cdqhdHm+bvPtjoTxXtO4bMynd+L3aiKQpaUnekqXDblJ7DjmG5OgVlebj5v3kKm3vt
en9NsbTgSvuRai+CFZpGNvZIhOxb57rxRvxMAIGjmQO7mapTE1Oyp5ugE00b5DrMRsnu3WDKqeIT
SXewmcJe+J89ZjhOK59ruOk357paJl4JBv/J0+KN/tPIBLrPi93fP+Dhoh55nty/vB7cUNqoJrzb
FrxfaZ8M9dsFUEuxj+fiwTPLzhOOubI6rRj7ZrKhRkk3HylUjHB2nVu+uBmvhjLiVSWmxMh2MSAO
AcShq23aag7cov+YWSJ93/1l+NE7tfGvG+ip514YLa84XCeVRXrQlcQ1wUgQHBDzhHa7VT36p3tR
EvHUxWnERul2bZKgQ2/o6nDhBPIY9gJKYa2SrHzk7c1XvE98CcWMj0kHIcLHFj+ovYZotviMxx/g
/jE96I0KI9gyM/5cxhJMK7g3Kn3axqj1z5CCGGk3qz+/D423f+89dxCJXCjOeaOP6WeUuKK9x+hb
3zWcFl0W7ZeuCo2ZHwK7TF2mEbXXOzmk4o6tRWTsyO7Np6zk/o3Gx786K4jkOXOrNn6cZcdAGMKh
pR8g/xbVtY+D+XeYeGNwVwVD/QvTgdYUXNu4Ypmp4QRDTnE6lc0jDqzrkpHacs867fKwLaVas5hx
l72GkDjW1SNaq/FecVjYLwqvDT+8iWSxvOlSRctyglNuohuBlP9Jyvf+bkrfrFdo8vGQJ3TFeCyA
2VIwbwPD7TKy4iMhEo3YrjhMflSrSircYFVMcT0MPxdkfIxVTu18CewRPTh3FUAkp+jGGkVr2uVy
wSOE0n15AWBfE1bo9fE2ZTF3SkiFHeE0Q+lLXvUwxc929XcHsdLya7KhPF3htN0f7LZYxm+WkyFH
GFlfSkzTK/qQqyZmmrF6qwdkqnwdhpnUH1yAFJmqO5gVLwFHzuwqmv4YY4iLZUxrjS9FVAqJQfDY
oN8S46hGGxXXE7PlmpAiCtxscDwkQyS4PjwTOzaSzUSUWnxmcq+4m3wPaU5iIyczbra0y/28eYhW
wFp/Ujzu26kiQfWWMBmXCYvTC0FzvPD47sbZ/HxquqNIwZuLEh2Rgc8NqeA00xhOIrxdtnE/A+Up
9od7YjRJW92UyTt/k/9VtucMhD4MiVv4HTPapMEDnK4c1i9zO7W/MCb644mu3rxtZdVVN4LCG22j
Hv3nqPRI2DLuyBOpw167qIau+7BT3IBy3+KfxAUnmI+gFRWnNrELnbHv6R9zXHt/qsGLgrxpjHNj
g3IYH+dkmJ/3ow8cvBsxDvbhUtp3ha9gKjsrrjAqcsHmdR8uv/uqpc9tiAXlkMfEWeRMxuUzxwEa
kuYKd09+3wqB+U2sTxxTdsv8RuFxHBsSjfbp//eA1MmWDs6gHzga0YnxERXvnlrb64NkVZNjeEAe
xOYzfUBa10s+YXibbuGmOP9K08f+lSOY8WWMCVyuEieEIMnhImJw9j7tJ+nn+r+u9JadglqVb2Ts
bs9HNW/cMGNYfk4Q7P+VETa7s5oT9ZVwSc+nkBcLJWJq4okImibCF3pQcmY88YjdshK8N01RUPjR
equ/zOj7z2EEPQ5HWiVvqLjMaPZFHw/DsCefZL/g5kExDiZUANtgWfZF/F/bdParprfit3JbPG1r
F20ya+om0Bc5L9gyp47aPzXZroB7XMu6vWRSh+pZX3Y6li3BLNoPtsN84jh8+SWy3e2yH55Oncjb
A94DKSpcRk05n+IxwXbN3QJSKS6lLTME2ekH5DHnyCMndO6Dsgc2ULt7O1xRP6rf08CpTBGH9Wj1
Ro5+DI/dX+ymzZPXRyDXZe114oQjvHjSnE9VRpnv0qbVw/rTwyv+a0S7eQ1CdATJ7XjfDa3/0rS+
7J+nZl+J2knq7bj24s38XKplIQbVzj4xQGOri6tj8JuXdfQXJk/7ETJ8dizTRmoXQlOtF6v4RJck
wlMtB9pFs0zhnHuat+ZU6tpwPib73N/00ngrCc67jBNmqwHnQ+Br/nMV1t3fsbajyMhaG0g0aNyj
+YoHjBNXRVVvxcNGj4OhKyq2F4Nv7lvSGvBVu84OXqlk1l7ICjvZgQMGe4N22q99NsVrQaX/H6FQ
lzHrYXbJQUANeGIVx/9gHwSnR0dc1cdUGy7yWbvJ1dTuCpWVDaHu2uDvfKFXGQEbN96CfT5gOWh3
7eRmS6so7JTntS0OE4YkeVGwJkMdGUVPzKapNgO2Au6aGftdXoOYjBEPVq4nzDX+m3dM9ZeJcfZm
bRtR5RK9ME/Z5MTFU99IfEZU/hS5yK6VOg9+F/4UnYeRZy2i4mkRrrbZFBfrnpJmiptpjJzhVUX1
8SdeQ/dniKDlnNzCOiKvkgRxAjZUWWdq7ihNW+H3z26s4xfojcOHI5YAw9IwlF7Gecj4EDpcf094
tOjznefgkzx5DJ/YcbubucMrdnLJfdcZP4/zWlR4nqzdBzwiDFD/W1RdfnhM03DUTqarUWJ5xFLP
78SBU3C7+C4xuGEOwAL/u+iPSuYXwD0yfBSPVzjs+ZM+3rqBew/1jeIYS366+uSkncpZRz90EwjD
Ud26AbO/pnmfR1W/JoVKnpANmbjsRWHFZcBlhjQOBastppaU+wcn2ydFA62Gh8sy1QPLDimLVcVX
WDGqOC/J1Mj8wAuR4PPSx620YUfWhXO5YRpnauuT3CrGsi2ODv/kdnH0eOk7Aw6V1d4sw1LOWbFu
zPbIb/Lul83KX6XiFEsJuKwhENGWnON5pJwhvHn+t5PZcF9PnfbybXbQy+uYrQI+aR7ILNBT2aab
PcR7kHh8x+YgEj2urfvqm4iolgnfpcdojBIt3dXgsXij+uRZq8IGKc16RdFQuC4vhOOJX3vt219F
va0uhvDLnJkwuPVTNos/ZXZnDpNZCBTFJVfwQHBjZvTUHWMpsM/SVqeHH7kPrIvNP+KkxHAcuR2V
fSkjDSwqGXfDSY887y0HUq81ai/OGEVled26S/Is+ooUjSRBsb/ztx01Azl8yQuO/YUVC+76G6+R
iUgXDUtZ97OgF9XI7iea1b5hDbEZhmfvcLEF4BlbWKIpHPQuduTW02SqY8xnx7gyi62LqGicdf3c
/F3sp32d3eacVIninaqSkEoLA6rFPleWTe4yEqz/MyWDmdNqhbtl3aCZQpj4UFguksmrb8kfS7qH
favjp6BW7ZT7m21Z0xrw2D2y8oOovbKnwIcx+d1/rurd5XxUtjD5YRhZncuKwjh3+RTn3HKIU1s0
qFR8sO0oXKZCXvFSTxG1xAT6QmD03ChCDt7V7xZG1pbV7H28DPog4WUCA/AAEEG/45mV/2PuzLYb
R5I0/Sp16h7Z2Jc+3XWBjYtEUVtEKnSDEysIEDtALHz6+aCo6RZBNlHKvphRVFZICpIGdzc3Nzf7
7TeSkHmtb0qNvLOjHIcCaLFZxHAxqoEE8hbLZQskUu6kQALy0hNJBYnXAct2E+qHfuRBMXzKEyne
qqDSxREwSOyYaKzBRTQvfplBy+WPuC6xQqKHeFyxRsKmMRLxFY+vaxyuKBkuaFuZW6lQSmkRqObx
NRQ6cQNvRyveUEym/OggPxyDMwnwTHoJhSsCw7sj+VEx21JcoEhg+JXDjjQ7DQ4cQEDsKKOPxYcd
TQ/2Tq6KLFgritrzoa5IK5cHnfTuXqyt1SCETbfoWO+nIyd4v1SJZqxioicPjdISQ5JMgpwAIjgl
c9And3gHHBeJWOetfawJYizMqKwIYMlUEzwRk0xwQfJWBi+V7c0HPc0Bw3LchNsyAUlst8zynyDU
2+140QOKIybUgwlCXt9TJxl83xdEkJ1W6blhqL2ZABOhpcoXazewmcNiNxjgsxLCFWkMsa4HG576
PSHYBjOsXOyed2rWcPMVrfILPEN6QpAtS76HUlmBggj2hJQgPkwKMOlZ8SzlIAAwsuAvVA3OYzuq
aUrusouHV2vQjy1+vAIWpCNUq4HCwW0EJ60mj2pELYNDFkr/ppmV8cAZVCt+HoTkuVHdyhObsMLF
rwqlcEbrPPhyTHDHi/uGMLZmHgFG7sx0O2JQB3fXl/0GzyWr9WVIRnvwdqpklgspL4VN3XJqLvd5
rqxMYiKybUIwzxU+7wtpW1MM+KMKxONWp1q0sTuAFYdlcyT+dk/tWQC3qWDkzM1O1XKPLl6NcXts
9KT4zL1A+CxYBEZJAxUi+Hw9xsttukL6kmRHVcQH5Hr03QrjVrC5foFRDCSKphZFCWr8T4OuoRYp
FyvTMBIKoTFwtiFBeABA0fAJdGlLvw2L0iVfKajlsfPDQC/a6+QGI+/De3IDmgdA/Qn5nwjJGVHI
SXF3Ig2aVQL8ISGsyq/CIQ/sw748LIx9198LQgLZqxCELF1zcJP9QVpcFz8t+B7F65A9QjwOjS1Z
sNNaa2pYqwbYSmpTesV1KAHKfFiKoAQVqjuLLTkKyz5qanhT9Qmw4OvCp13FaDCHdFkUyToquqXL
E5oW+oTpGqm7zN4HHLleJQVspJS2gN6eW0UErIkoWkhlNvnziBsVNaLePgNtghNDwLvUm5eZJ5rW
nk+faFLRD+A5KKuU5QhzFTtMCtONQ0t2cJU+l7jCGB5y4RXVaF7SdBr8XuawyDIiAHIXAg0fCDmA
J7FmZmpKnPD2WDQxHFlvJeWMWazssdAHlStxloaEW6mdCwF2JEQj93Wu5+71WZhyQ4zSRoYPY2Q3
BRMzoUkpOjWjzTtIEODA5jc1MhTgcZRL4Rb2Wv+NRr/yDB3WJTWEck/StVEHJW1CfQFAss73NXl4
ygHlex2YCW6uBBa3EfsV6DlrUWTUbueK/rH2D2OLQ6hvaXSLBiJfmmigmVOBCP6FdB9EeJRcEf6N
ik+pylmwIhJEavv61J4P9FTeRL8GXaAwpSgoPMzEjhttN2wG5N6Ax1DAipeNW5pl+WhpSehfl3yu
2Uimd6kGqbFBP6rxyd5RPtWDlkuRimbTIUlch2BbOXiL/INcLW/zSZNA1IaKDII4p1IQHSlWyY5W
OqlZayP0zUylNUn57skAbz2jN+f7AvZtzAfZYxKCrOapOFO1AisV0NSq4TRrCA07RBz/pLhGWl6f
vvM9oUKSaNCNnHQP/L7j9L6bPkq5qqqPOBuCUi5XeDDUYlE+HDkAPKlKrgjnzrRdvyhRUXGBYLtW
4KI7lShxwy7TA3u+2And92Ag0GU18RhJrHb7e9gazQ8SnI1rR+sEk0IIEyK1Kbt4R0cIlcwt1rg6
cF+xjkVduIVRt9lfUEVaEMEJL6kqqzYZWQSYHI+CuTyWRgnWubHAHPXljJRL8wdduQR4amwuOuUt
7AxwuvsdUhoQAjqlhdZxGe/kyuuJsZLBJxZ2XUUuKaMlWqAHcMuwZpMdpueVFg7mqCJSaz10GcQg
Th+GhuAdEpyaGUsysqCcOg7AqhVDZBZVWCOmbUpy65DgA1N5XElh+jUioQc+dA905VjcmnU2tiQW
mvbz9SFeMF8cDJIytu3mHJLlU508BuZR0QCJ2nAKUNEpGcGiHoi3Kmnsl0lgEoVQ1IWqAHicGe6F
1YQElmwzvQwwLurEUWnlKN+ZJTu9Dg7mF5nC65izWGqXNCs7+CH10d71oV6wl6NDRmsWReJImpqW
urMaMHYJuSzgoa4Gs6V/EJS5ruQXVtGQdXabBEEi1M+TYUFXE8bZuOcCeS/1oN73dbxQ6loSfSkT
QSNHsThsJfC/uxmDdlEyBwElbDQLhC/9dCkDcP99QzcwOzYP3KMphgncoGZvECSppW/YdsCuHaWc
wYzgC9sEeSLeBWTX4NvGB3tnSStK3g0qTJnYfdGv60xsPZhghQeLCMqMRbswRroCKjQwYauM7cJP
RZWJKB87LaU6n9o/V6iAlvVaReFtRALpoQCm/LKXrDm+4gsDtEZuePoHaURQxMmaUjB9sKyWTRJJ
EOiIFXAkSluCRShSpfBhJbXAfFh02aDtDSSYpwOMKTonnsQAg0RWXasBx9SV2lwfj/OtMHZcEGmy
qlkEE6cUrGJr0sWjpA+MAIHAdt/twfPt4nbGFbsgBfdE4g/WEwr9ifk8UK+SZppFMtoAI1pImQZa
Z6d/eFvjRbPlZLoSyaKsTbSvF3dtj/sOyALQSLqtINfJ3bwSmrn9dWE4GGYJNnuRQw5NOF0aMkpq
mBE/tY8dzKRRKlcOgMUZxuFzq/jWUhS+LFrE4/5MRiPjsHR9RpCT4e7XGM9o8KIa/EfRU/XvUWFd
DF8+qnKQ8dKsEYi6NrZWmdiNCFg38QM8ZkUpuLLtzMIvhr53r0u5MDDDxC6qIocbPcLH2X1nJDr4
W8NqX3IVt0pShsnOuKWZTO2bxmHnFH0415znsjyuADQyxb+btthrZfFgGMR1gCAINfk/2omSXQ1C
Km1iMc4fDn2lfL8+xAsKwhBpY8YpA+f/2dU7FSOqVpjIYZdFVO7mZBfy5vhxfYeTh8CYpoxW15rQ
b1u1To07RQf2IRGDe7On4KmO98NM98pzv4BQlMZRQudM2gtYk70b6DvopuIgtRVa24HUhpWFqpnu
Cci+tbA6kxrcfdiTwqubdHF9Gi+sHO4WzdM0ehVKxFJONaWNxKgsaVhi57oavlACpL1QmqfWfpJD
22HreyBF/nWR58cKjSmYyjGTw+k5PbR3nZxZHV207UDJjgsNVNZrIpCRvBVkruf3ARW8kp2XO+K5
1wVfUBkTGmyTDWiy/6bddul7iQObN9Rfw1Z1F2tqatdF0X3Yj2V4FrTwMgVXUH5Pzq+86KnlNwF+
WYmZLahrDCB5EzKDrZAkqTajoJdUh6OZaOA4o4DmTtfvoNASC5wq91KzjxZwe4GtSyIBVvrAiDdZ
FQ4bjaDdQsG5fv74dBpMI91GTNRHG1XrnZExImLXoa6B/gfMdC/B+eTlg/TB9u5YZeykzJ0YH1Lj
qjrxmeF8KhQY50Em63vDrgEsvCp9phHeV8sldSL18i+Miqs0Xam49mCqT0d1hE4lp0QQ7VTzInKp
ci90YF6QZM1o46WdR59VkIfaeBExJ3d9mKmAhcLQAINLQA0BnYFJmNS51SfLfaqJ9eORyp+5SNgF
oWOTFO49TCZH+ORgOMrAlIsjdTYDHdvIUVHCNYCDz+G1CdPUvT6V554cysENVeOeyqmgTGxL2u2p
soVWh5KohuIiJzr2ZfJC7ZdR9lSID508d6uTRrfg9FqHJydyszKZV7yHyer1qbULdVITtsW2S72o
bcRN18MgZkVNtgxMUkdSVNaLHchIegAKpKfscDBICKZw5M2EVy7YGwviE0y6omPbp+7lrgOZSXeo
HGxNFXo00gXCF8IUf32WL4/5nZhxGd7tw1hvklYM6H4THI+9bleHkVyLVpGq5qSK1Wy1dCesxI78
mpmUsVskpKKFdjDpyhOLM32qLukXK/67sQKWYbJbc8jkAkNlyCHYcUcFrfpTqco9kDAxXLc1d7Tr
g780xQS/OUs4OcembqdjV/UjvSmgZbQNTSnhXaOCyBjSbmZUlxTZoJG4BDm+wlpOLB3IYDXpD9wT
oNArvwRxSB6xlMOvNN6ecwUuDog7F40xTbC94mQC25i6y6OEw1HRRNwNKhCBJGp2Mw7HRSkUlWB4
iH1gv0+njbqmoJBpm0qb4DAyfWiK1IPLTYsK6Ovrc2nmTM5B1ojuBcrUja9w7k2KWhEkNKIvgEx3
jbw1Hgoqhp/+iiiaJVijY00P8NMxpXVfN5bAIhV9U2zNoNmR4TSB8YIm6uJPf0EY3a4IweFiS9Nb
OHQ2O/pt4PC2JGD8w6Gh8SUIcbdtktS/LurSWuGicQDKmFCapp6OCwyTqtcpoRtF0dIHqCzMO91s
zRlbNX7K1HBajGMMD3FCTFsTZUmrD9ERvctqcJP2AazoCuPYfd4RofKLA9U+14d1STMI9gFRBK1E
Dmty/CkNReOpTuoMPq3MiY+Ux1UxTcLw63czi3U+NqIl9LQzOPiIZEzH1qmSldRgqsdq6mqxC8qH
3KzWQOX0pVhF7czALkgz4V2mpyU9X0a42WS9DopAt3HS61on6OswtYRnWjtRuiMdjvdQ9AUz/ua5
fhBZl2icgx8hU+k62cuRqAPYF3KK2smxfymk40DMTe4ery/XRSl0OWQbE8og53k6KkFo9f4IOxOI
NhhY1Tas7oBw7j+shW9BWRItXA4IOk90nXA91VEmuPqsHdp7SQpGyARVv2s17fQ/5TJIfn14WKgg
QSaZLq9keCbDUvSkisIdVwIYxnDWU/lHlBkf7FGNC8t9QMUsYdA5PKYupSxANpEdW653uQKLbg13
DNFlNXOAYlCgJrJmM/N4vlrYdY32m9wpcTGnCcGyLajAaS3wfEl5uDWOcbARD53Sfdi6U1IhGnQu
N7DusjkJ0pgpeB8AIHuYMZrcS/fpz+MINav0eK4N1tmA6LrDDdwQuSLLdC+fbCqYfivhIFKIKJVD
9CXNhcLbN7sPx+eRwtUUd8KyyN5OtxJAUNDeBnTDFWW4pb3PTKhwuqHbK5v2UADbi2sLEB118mx+
mC7L2TzZpXGOZoMbORaEjOPpNku46YwFv6CXqgSsTFQpu1s10tKPnv8cJ2OPLQ5mTmZM46kYcQAj
oY5hPMrCTNdSup8ZIOOZm9Toa58cKUQ8uUVZYy7cGv93KqSKsrpqav31QI1wkQsPerRMRcPPJdmm
Sz0ODkVfZRvP6ORZdGGUSrERYV11JAyamEOwhLD19vprf1hbO/M2bT05D5xEj93j8eW68ZiKInYs
kn3QGJxhUQE9MR4RvBJHoKFUBet9eAfbSeAcurS9EeBb90SdOjUiezvvutCphrwJJcdPTlPGxZiG
9mJYh7Qu73c2/B37B+oDEu9oDqZ7Xcr0dP4txcTnpZUnju9kv5GEDqEDZmg7ypw6QCXCGIqFRcmh
rnwOMHFBGC2oNOrQyHjTImNi9as8p02ZNqIRdwGyusJ85EDjxOyb4IOKz7hORE0UX9ODwDiWiKI2
saOIIQ0WkKt81GUbpRD5kSDD51AmynWq+YeDtAN5DzsjRkZbdGSNSbYdDf/6Gp1rAtlZqiCwU0Sb
iI+cSqHi4BhrOsWJQVQU3GLrHQyLyUctL5mfEymTXcyFBE6AnssjhKCBDW/WF3Evfbk+knMFIBwB
NStda8dskzFZlT4RGjk8QqWW163+Q+rhc0go0B15JQx9xj68qe57s8SdB2GECMiWkF+adqjr4EhQ
h5YsFll0WGTwGQWKtY36thLS8g7wbe43+uGwhPxVdvoollew5CYztvFs7bgj04lcAr1ljjWckxGn
JQzr6c54sSIqAEpoFp1e3895UxeFgPBgTsnY6OJUCLQv0AiHX/ZDmVqeUiraOqNXnbX40OqNiBiV
ixApFATR/2RiKw5J0ls7ve9smuHtQC4X5id4UyghVePd03VRkxH9FoWXS6tWcti0MzxVeSUwon2G
c2vrKcXfNQN0D4kgzRkJ8VQOCV2SW0ybqrBAnJLT5AK/kgRpJz3crLb+dun6vm37Nxvfd11/4/Dz
xuX/Xdexl3znbm78lb3iNZsNP65dl39bumv+zVvzLa/2V6utu+RfN7x5xUsdZ8Wn+Qubj+Tjx5f4
Oe9fPfvb1YpPs/k42xv/2V/5zisv4RFsZ/wN3/ODZ9vO0lkil9fyifeLLR9/47p81Cu/WXm25/GJ
L+7GXq2e7ZXn8B7P8xzPcZzxZR7v5/PGD3Nu+WbDSHiix1H8YumsP3vr8aXeemV7zp3j8j2jXi5y
Bu/wdL63vHUcf7Xxxwfl2Ra889H5yqcueen67mm5fBqniYka3+1uNqk9in1y+PV1xXgLXP73rj5b
sWmiJo2rWgW29LDxt68r/5lBec5XZ7l2nmYkvQV7rkmaGPemrhK5QTd89+Hl2za0t7b35c4R7Rk5
yrhtrsmZeBd1WRfULyOHJXpZPT6yzg7zzZIsbzbujePMZPsnccTzKZzcyAOpKWOY1B827usz2sI6
XV8jEC4zQxq33btIJfhs6o9gR9o83Pg3o0L7m7c//L199dkbW3R187rxXzfb0mbjbF5fWUv7doFi
rR4Xq8Vi4S0Wt/YdGrZ2bpao85fb2zd1vLWduyXrzc5jW7jOw41jsz+99YNzc4P2rZczJnxWEcZT
7d1oVLFtCeBLD+6L+8y+YcbmtPrN3b+mAxN7B9UORYyIuPFft6HHtmS7b8cNz7Q98rWyF3w37urQ
ZoTrX0u4PO1f7nK5/NXZD09zKvKWEb/2QNMjpTGVOB2Vcrt63vrOr+Uqsv2FP076xsfGuU+b0Uyy
MCyEZ2MDnfFHd+s/u8+rx437kmPbFvbLzTefD2Ao24W9eL5vmT4XK/K4WqB33ho9L2zv7mtsr59Y
ateVbfcBhXi17E/eHZbEd+2l6z1gh9ab0cBcV9W3C/K1cU58q30u9IqEpmKwN/YLNre1ee4vC99+
/G2ZGR5G9MZxb3wewsPuXn8C5c0PufYIE8frCLXh0I1T/YJ53zALm9GubZ7crevcrFZY6+UruwVj
jcXnlFh4Xol59X3mnKNnOZ4C7guL47+6q+0Wg43ebB9D2/4TLfJZE04Jb80ufMFqr+03W7ZarLar
x5+r0P75OH7ot+fta2Q/H+1vob3C2GGHto/8+PMn2ojNXzp3T9hY/n5YPnlPy18OJn/5ZD9zivS2
HdoLtuqft3d3f96tl96n1Xr54+mBk8J54DhwPO/Jtb/echAtH27cJ7ao7a3Xt9js9ZKpd5nVt2lm
5L+Ybg5XJHK2LDecy5sbZ+ndsdXfXvj5iV+PRuHJvXl4eUERnR8zK3LdeuG5ne532irlgsERwyl5
w3/o7mLjcuSx9W3HXf8+5JwZPaBV3VWjSTO7U7H71jDaHLHIZDo2W/Y/W22UOp7epc0usr+NZz3m
kn2xsnkh1sF/HE9lFpqF57tH3rCy73AIfL4b37taLe74e/nEpLlr5+HNsWFa/fHUZEfdsXNXb+7C
cr1mQ46q7o86uPVHc7qzl6gQ04+19l3s8c24jO7yZYOn4y63Lu+5vgDj6fDfG0J/c/5A5Lz5mHQm
nwJEj3kOu2e2owB6J0OMC1HNrSIe53BU06qK32IAfYw9kckiaJNlhs6wBdYkUN3YatUy7svhFnLf
w512CLXFjjwGBfe9Bj8GZfXdnt528NccwpUGnZ6Dpz13/5rcjd4eRwehMd6MiFOepYnNTIbZGAav
fOgTu1b3yU0Py5QfQTmwuT7Bb3D96QxTvSDjz4OpJGR5qmqqmtKRY8C93sXV84GaaxhNlcUx2C/p
JLHU8ur1EHWvB4muhmrwlGmHlx5g4EAwrmz2K9oFzaWPRjM7eSDiKyZxFkumumEK4qbyFbIUk85F
olRZys8UWv79OqsBn91DaZ7t/X10TOVHqHqj78eIJiEzIPILk6/ruiKCIAfHCify6YQE1VE+wMre
2iD2aa2g57lLWVfhlrs4mdnoF7T7RNTEmyilQd4No9rtGl1Y7VGIW2KEhxkf7LIUi6sTBQZjiOJ0
QBVsI0GWsIcOx3Dny1Yv+IUMBeh1RboohWi3BDILbIg+0SOL5lcJjLjoUR7Hr5DV1HdCK+iP16Vc
Ug4QuGwJ0lZA6ibOETjYsGhTyG72kRQv2hR3mUJdKfRCNWxuxQKyLflQFGuljdtPHxdtyigEOG75
fKPAeJNJXQrjg0LOdNNLWveVdlXCCgYe7T6F7BdGW12/50o+V7JxPrXUMxIGB0VOjBOTcLqAQgfi
RqhiaNVMtdzE+yxf7qx6DgRzPrUmwCyWTjRF4u5TGMVOLFtdLNLBhi3hUdS1r61qPgdHfd1CrAeV
frM01GrGuRxdx9O9TqJYhsSJ7LdM5dTEtaQsvCMbkg0QgsAh9WIV9GtZFpIS6Q7M/8UOKu06BBsD
c3r8+fpynp7s48liSoQTgJmCigHpPBENppka/z2iTZ06OaUPYi8vdqVHC0pqUJtqLiF0aagqOBUK
pgDTEs44XcRBOgZqKENTWHewUMl9Gv+ZhGHgU/4WwzlhFEtaRFjL64M8t2UjSgvkONU+aM4UxLA7
Uql+HGmv4ZkUnL2YC+5erS2/gPbU/QuiSKXAzQHFNCf26fjgzz2agQb3H4TOncwBIu5FL7CiLPWl
+CjpMyM72xO0Qgbjqquo7AihnJzYQg+ljalRGKv1UKoJFbSjxV6fi6adKclYQIiIEZmhqQT8Twdl
Bdygj1CDwl+cmrWHbx5nbqLvtB+U7JtQ1Bax6n9wHicip/OYwMtg0mjKgYGjcCV1/zM2pMZNy6T9
qG/1Vh0J8hTvCjihPjkXdsdhJ8JUGTnhUB5WUMilDiXb2YxenC0UsXBSyBb4M45UWuqcTiFk721s
lJDHWPta88pde4RIUz8urs/adHfhu7Cr2FdouWxCEH8qhYJ5iVacAJAPQSA+9lZLL8vwsBoUo7Xp
C9k/tvkwEzE8E8mMEU8eq+nGYrppKD6RDKVXaupbo7qS3J62Mppj5Y1wL0F4ubXMZqQRHhrv+kDH
5X9vMclVEp6kyOZtTxOTPB1o0neHVtzTn7PxI/vgdF6+UDayO5dxmgSGdIzGqZzJmYO3eNDLBDmF
+/o5c2mJZv9Y33+9Ppi3MPG10Sino+n1egchA1LkBThPmxZrnnQH+55LWzpH80BE2TeVvaarkT38
eV32NCdwNsJRcd+FcshqJGo1djoVlqrTOdQm2t+NjbH+6Lk6ncmJk9cnGTRdGXLUh2BRwnb0mTqz
dTCjF9PTeyplcrzAkhQnwjiao0/LNgc+Zydzipm9fHZPmkoZ98S7OVOiSlLjcb02pfdt7zz/1BZf
Pz8pM66kNC77NbWYmF3qy5JBihBTelQDOdBC2Z/hQN8eHeMTtOqrGU0YdfmauInJtWgkjvlAXOd8
g4vf/p7Z61/O0+cZMRcMxvutO82ZpHVWGzC0j6OCmNQhh+fQytExXd39uvhSu5+gcJxbsBlzMa1L
J3RXWLtRZutysWODRd6fR/v7p7udfV+7X7kT2Ds7njlY5tZvWvOowJ0mJ+P6Dc63oy8uaFTq1f7u
LloFdrI4zKnLadT8zFbJEyuyV6G2gPVhHOTOSfmj2hCxE56f0/+pOzVR/ymSWhXoELkDUGaPhYZ2
G1ChmleHdbs35sY0pysTo2EacW1m40YztZdDsIxoYVHI9KDN9jDEzeEAJ2HH8wmcGI/YFGQNHtjf
E5hsaZ/lGj6teZ1PkRu5RJUHDLFo/5ob5SScfi54Yk+6MKXFU4lg5Ule15/zu3KtfAvuyQLTDaX4
Ojxn62ir3GvP/8utODEwYdNHej5qjILOQIiFfrZLvDwnsA2n8DIvdE3HdPQZI30WbJkq0MTSDHK2
T+pxY4AL86Ol5D6nDoHVwC6Y3tyX7dlz/JIBAKdFOcVIYkB53anFrvdmmomjypYeLTDZH4pr4Tmo
jnWTOnRWfqjvaTSyqBbqrbWameVLdvW97MksQ/M3JOBW8FXcztM/J/7O7/zB3fv1Sl7Oxcwu7Rhg
HmBJqHUAqzi5EMT0D4mHqqjtiqY8ogQpCqyh6vDzkFVufHy4PrSpIRgTZ9QxyQAjqb0ES3o6q3oT
ycEuUY+OoDSKD20lzS6kKqL17XCcMeHq5HBCFAU34C8pDTcN6EpPRSWmrPdyS0PTAPKgm9zKMsq0
lGTGhk5nb5SiAiziNjCSmEzjKqo00I+phoWygSxlCxe4sa7apHbEQU63cZGmn6gwl+4/PItEcLhW
4bSDTdNH/XnnTeTwV1V1QQtt+oAXHnT52FS1SR/oIpTM6eJowt6f8QyQOxyBG+ojNariJ/uAJonV
0TKEwTGyNrMcKMnqT3DyQm1Zabmyf06ktoGHPzWKzgZwUAs2lNXpfRIPwWetyZocXqe2bVdlqssP
gHxLWj9WUWHahUg7y+vzcuZ8A4UDsgQGAZS5pQApOp0Yld5mWWMY9BaX2pZWcEISDlhDWgns3L7W
AwpYdK3tY5/G8+3XCkDY97C2QtOVAG0d/bhQ9Dnioal/OT6Sgn6AOoKBn/aSp48kwJ0ZiVLRO3S+
2tP/QZFteoSlX8BjaBDJFq25HgqZYzdq+xmreb7ZFBaNqgHiwUTo3zLM79QEgn2hGyjadarGfC3B
1H5q4ITcQoQ+V7xzQdJY4KyDjiSqAMT6dJBhPXYituQjLMexDsKVEnQ3H2JI3IEP/by+yOf7mhAm
MS/YnCihFadIydAQ+zSHYdQxYCj0mqqn72YZztxRzy45LBtkFwqVMuD6OALGEb+bu5DkhBIfD60T
CLvA7mn0bsdpqNgoVLqODsfcM5Ig8WQxVjeALJOfWjpIMxbsfOvxDMChxyJy0P/TSNtwbLswL9ld
Ji02dC/MA+FJ3YuUalgNFIUrukrAsPfh2R3tGHXXILAlIvWn4061XarkSQD/UZ1DTDioez9NDWX5
cSnUnI3JAqCgEJicSgm7ltzUELew79FmHYJKmj/kg/jh+VNFhYFIRNZGeNJk6+0HZW804HWdqCuy
TaLWkhsJkAJ2kLq76aEP/I+OaoTSUuhCBgTNUSc6Iw9inRzlhrY9xyhcx7lwXAW0ypu5JJwbFFPW
oNJgUKTczmpBIGMhpTeYtWMIUeaKIrSECb1zlqKpCZ6Zah2E/X3drgKh/idS/t++9/8e/szvf5v9
+h//wc/fczg4RzT/5Md/bKLvFWv/q/mP8W3/9bLTN/1j2/6smkP182+br0X9N/+Q/fjaRHk2fc/J
RyDpn0/ifm2+nvzgZU3UDA+Hn9Xw+LM+JM31f/39zAxp/KD7PMqa5/zsI/6lF70N63/8oL/9fHuu
56H4+Z9///ojZb6juqmi783f//lPqx//+XegmiPb3L+dfdbbeK59RsKkNYcffDhsL3+gWcT6UYeE
csv/+3tN+oNkHxhahbqg8YsNi6R3E/k/jf/scS7M0fXXXHv03zPzNnyol34/1G81+681+cjwZeMP
DCDYX+Ljv79Op0E1/8CbhABl5B8Yv7jK/v81DRRlc5HABP3v9EDW/oAeBddPVC9PhPUHCGf4Ccai
yLev/0cT8T0/ZM24XUP2/fvtMBal/ytzMPmAd3tBEv+gioavUdlPNoPyB0gTvvAL3r4+sBn+hR3z
TwP1Pfn5tfrH/wEAAP//</cx:binary>
              </cx:geoCache>
            </cx:geography>
          </cx:layoutPr>
          <cx:valueColors>
            <cx:minColor>
              <a:schemeClr val="tx2">
                <a:lumMod val="20000"/>
                <a:lumOff val="80000"/>
              </a:schemeClr>
            </cx:minColor>
          </cx:valueColors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_xlchart.v5.5</cx:f>
      </cx:numDim>
    </cx:data>
  </cx:chartData>
  <cx:chart>
    <cx:plotArea>
      <cx:plotAreaRegion>
        <cx:series layoutId="regionMap" uniqueId="{6123BBAC-BA9E-734F-A1F4-E022BE3D0B12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000" b="1">
                    <a:solidFill>
                      <a:schemeClr val="tx1"/>
                    </a:solidFill>
                  </a:defRPr>
                </a:pPr>
                <a:endParaRPr lang="pt-BR" sz="2000" b="1" i="0" u="none" strike="noStrike" baseline="0">
                  <a:solidFill>
                    <a:schemeClr val="tx1"/>
                  </a:solidFill>
                  <a:latin typeface="Century Gothic" panose="020B0502020202020204"/>
                </a:endParaRPr>
              </a:p>
            </cx:txPr>
            <cx:visibility seriesName="0" categoryName="0" value="1"/>
          </cx:dataLabels>
          <cx:dataId val="0"/>
          <cx:layoutPr>
            <cx:geography viewedRegionType="dataOnly" cultureLanguage="pt-BR" cultureRegion="BR" attribution="Da plataforma Bing">
              <cx:geoCache provider="{E9337A44-BEBE-4D9F-B70C-5C5E7DAFC167}">
                <cx:binary>1HrZct42tu6ruHx96GAG2NXpC5C/BluyZMujbliyJJPgBBLgAPJt9rOcFzuLdOJYimN3unbtOlu5
cCT+/DGshYX1Df+8Df+4re9v3JPQ1K3/x2349WkxDN0/fvnF3xb3zY1/1phbZ739PDy7tc0v9vNn
c3v/y527mU2b/0IQZr/cFjduuA9P//VP+Lb83p7Z25vB2PbVeO+W1/d+rAf/g2ffffTk1o7tsL2e
wzf9+lS7G2/qp0/u28EMy5ulu//16YOPPH3yy+Mv+tOgT2qY1zDewbsRRs/o/oPI0ye1bfPfH3D6
jKDtR4r9n+35l1Ff3jTw5s9nss/j5u7O3Xv/5Ld//3jvwaz/+LPxNvmy5MRuE9Sv9xX98nBL//XP
R3+ANT76yze7/nhDfvYIJtuYNjV+cOZ2wL8+fW3sk2N3097dP7mzT67GRwF48PG/GwCKniEacxKr
R/uPnxEsYgoPv7v/f2tO3w/Fd77iwVJg4VdP/yoD/78M1NVNO9w8SW6GG2fam98T9ssxebC0vxsl
Ip/xOFYMYfhn/3kYLaaecYYVQZx+iRb9ffAvp+Xfn9j3Q/X4/QeL+fXpVfK/K06XN3Ca/u9//b5H
/x0B4s8YRUzGiH0/QPEzohjHmIuvz78tZ//GjL4fma8vPgrJJRSu/9Ea99f17+sFkMLBOOw3xzcl
8MdPf6+dj159cAE9WPnvMT29+/UpiQWGa+PrjbR9yYNL5HFaf4nIN6/e3/gBbik4XhQCJ2MqEcYS
KyiW8/3+CO4pRYVECgmlmBRcPH3SWjcU8Brhz2LOpVBccTiaSMJr3o5fnsXPKJFbNgjMmYQPfL24
L2295Lb9ujG//f6kHZtLa9rB//qUP33SffnUNlnBBN5GxgopxRkXSsLz25vX0BvAh/H/YXKevR/H
Jm0Zw0nZs+yNmAd6slI73X6zQ98Zin1vqJhISmA8JTh6ONQwynZgxdSkGBacTHjiSb3Gd//JIALD
1sVEoHhb7zfrQbjLlbRDkxY8mw9Fi1DazvH64sejcAZl8dG+xTESiMPmIaiu/NE4UVyhmnRoSVWb
Ry8WuQSfhqheXto17+Q5K1jVJF2LxiahHfUqXecMDzoawuBeoCGupPYum9c7NOcoo4mP3BjTZOhN
iDRpqKybpMjKprgkM53jJDBeHsucKXNkliy0aenMUOkIRTycMBYimTKf9bWmYsqXtOM1vid5Tj+2
Zp7u6pzmaxp3DUFJL7KSJlNo1lhHeTPkKQlrV53wyK2NHgiLPjth7bkdsXCaF8bIxJFyvGeCm0nP
dvJlMtZ8vgpCDrmWMydvW2Wzl3is6lI3mVQkCWvmTLLKBs+JbcdyThsy9r02qMzfs5HMozbjrExK
Koy8FmNLTIqFEHWyLpLUCUZs+NxXbBiTTDXIJms/te84KfmsSRDkdkCMPadRV8U6TKS8ge8ntZ7w
aMvEIO8q3UXSuJRzUpAXNp/al0iWotSyk/wGlUJGuiS4XfUyqXFKrCyt0K7y0wx/b9fzNp+UTISo
2jO1VCHoXgyGaSbXqEmMcqM6MZEI1dni+7hIhHQewf5TFL/CPWJrUrSCXxdNiDzMOLhX7UAMOuk5
hX1GU+Rpwqd1OUd9495lZJwHnaulfBOa2X5qC5srSISA1kPpg6h1VdUdTkbPg3uBRVtWyUBrwl5U
ODDYAsnK+wzn2dussvMbigIbdGgmM6yw4G5hiZeqWzQZc/c69NZeE1SWl7xZfdCDEfW7olL9NVG+
RQkJrr5oC7Jkad5h8a5CTXu+lnJ40TZG4cNA23E5ZLkcLzK+xMtJVwzqAzWx+OScYavu7RCZlFtm
z3jJ8Dm2AiIxdpV/E+dtdTX5WJ7athlmXXTcfYjzeq7SQi5VrbGNlpOoWvIG5lG4a+6VxHpsl7bS
8UB9p3NI3ZtpLocF0rVzxXGdZfmQLJLRXPNoNTc2p84ni5u4S3xTW6zFWtIpRWixPuEO8UmXfM1P
SxWNs16gKjcac1fUWoUxvMqLYVoSTGrb6X4lU5+sfGB5EtUzQC4SuleTleKu6obsJLipnbSrRfQh
FObaYlXDIXOIvc/kSIweK7GGJGtF32liCHF6GWf/qu79WidsZWupVbaS4bBkLBu1LfFQJSLK8QsR
AroIfGQLJOQ69Ikno8UJbmr30avIZ4mty+VWRMGzpG1Rh7WJ1IASW0X5qS/6LBxGhnyuozLqssMs
5y7TVW8yq10TRZ2mQfYkEYOqbuZhDJVeelxbPUdxGzSfluh0xRxbXeG2eTV0dou6laTUy9AsOJnn
tjbPSR+3VBcjqt8WkVrEUTP6HGtEysZDnod11XM8tkMCaWRaPVjaz2k/1mWmpS+H8bgSc3XVTxlN
ayhBKskz3DLtSW9pMqpl8EmQRT4nnemaGU71KlZdlUuVp6wKxXsaKxxSVRlqjnMVOnxYVyzIsS3b
DMoTW/oCythiP6JiO/7VlCOXwlFUb/N6HNDBuDBGelkAVh1sVUYRZJWLiI5oNVbaRUHe8cwWzRlv
x/yqKbLpQzdaeSEbT8XBrZkdDk3cFsfLSrqQ9tUQs4T6upRJyGdTJmttyQfaqKE94GxFUVpAp7ck
VVC5SSrXTEzXEW1fYTWo10UWwUwjz0WaWZuTJBJjIXQ0kndtlcljzHjUpvPq6A03UbNqRsbm1DVr
PR0wD3AOSDaiN1hZ8lxFUzXprKuKO1+Z/COZAoR77ENjEpH1JVRS2kSL9tVU5toHXFXalzF5X9ek
uODlWsJRLjB52SkTpoRiGZs0NqgLx7GP5GfFlrLS7Vy0me5qJ6O0Ll09pkNNi0smUBNS3E3d621H
Jg0tQXYmJ4I/lEvtwiHrWzPoum7bJslC2b2E/419yvOZvAkVCe+AwRjDocZ0kHqVU/xhHrG6XiGL
z+qu66jeepc2jXwfpDbl0httpjB/GmyzzkkfhIFo5zXU5sjB0dGFrOvbjMGB1XnNyPORNCvcfioz
XItp9I1WznU2GVZuL7nv8Eul4Io+1D3JP6hSoI+Nd8usmUKz1TLr+XPZLsuiRzV2rZ6gzb/1UzT2
hyYLy42BoepEYla97xdcRnqK8+aDw1MjdK267A2NyPK26Ux04vqZOV2sdVfrNooKllYChUVjOFWv
upq1n9q4qz/NNpNdsmQtnFRWStTpKprIy7kYKU4rJOirtajbN00214VecL5+bKdeXmA/0CU1ZGRH
jK7mlCNRvY6Ktho1crJ3cGlG7qhRvsZ6LdqG6XWOSJvkdGyFFpXIznNWTlY30NZdRbmp3kTlNDZ6
ksP0fg4mv2EqIhXc4mi9r431vcYN5r22aKh6PQ+NkVosA5Tnks3NlYtLKIOCNcvZ0jfrRW8XdgV3
VU21Qrw77Zq2hhcommeIa9aUeu5a8kEazrGu6sJ/DFM/v2PE4iwxteLPPZ/5+WpXn2knod1KJtlE
s67RaIMulcNvM5mju24Ow3TSxHGfHxqzrK9a5NFlazPLddQ36rXgbXTrRZPXSU2qBpKW9h1sU1nX
Z7bmCjJ1GPMa8ofD/UqWKWu0CWMpNLNsOI9yUb+PK1hniEdzNubMvV9pNR1W7+CqgyvkbPZ9dcFD
TduEwvV0FXLGTRJgd1iahzC+WBfDFx2iSZzNcKtMSRtskVhcxW/rwtD3ZrCDOmpcQ64a7AlJ+0mq
oGfj5ndlSehLV/IihwNDquKFRHyUuoq7kCetMZAWlbHLu1LNMdEdNdGZCzOZoCgaWiXLRO2lD3nT
6UBQPh0iJnpx6GjrXmUSZXeLxXCQl6w2NxUV4UU8T2OtY5P1Sq9TVA9wz9aT0JxXvoIryRWfyUow
1Vm09p/ixYsoMZWzb+Habq9HXJXZUYUmfBoagjPdspyfT6XrL6IgyiveEVnqUdbodG1yu+heFvYq
ts6963PJ30Eroq4aCuvVaxSK/qiKB3EbYqRKXXqZX1BBfZau0Mk/hwtWQVZAGYcMahYBvdWgzPt2
nlWUFH07f0YLCZdxOZohKeLBnSnZjdDuln02pXNWk/noJxjiMYIA7jWOoVxjQhBVYkMY3yCVIBRp
HSttyquof1VHXZxC1zofFwsW7388FAUo+RCtEMQ4oVJQAI1MUICT347Vutblbd30aWk5fUN4biPd
oSi77lVUEe3lUkDo5mWtdc1Yb47iji+fm6WP6aHipHuH5YAGPfuqwy+oy0ur86owkWYtwi9CmO2b
jowKpRBXcj+6aRWpIl13OhgsXwY/lZ+xRP5VzNhyzfm8lAkL3LZJZ6v4Jow0XGMzi16XXVCvhoYU
b4Rj66d2rpurmRK/6nIGfKT3ffmNUPgNkn5Bw7e2W5yBvu3Rr/86/50e33nYrx/b6YM/fruY7t0w
uvsn5zedf3I0tnc7Q/74nW3kry/BSL/NZKMPHvzyJy7jL9iKL+T7Xzz896iMmAI6lYC1/5rM+MoE
/cFifH3rDx4DEa5iRDmiDO554Al+5zHYMyARgDqIgecggIeBOPnKY5BnfCMegeBAlEKa4294DPFM
YjgBsYop8AFMyr/FY1AY5mGOI4xUHEshiBIyfsxkEDsUGPXRmEZ7h8rnfloO5da4RsQRCy2WiE6Z
CHAh9AA9rA57xyu35pftfXA0h7zX9d4fh71XlsS47DDtPbRqfBQO7dZaC0BrKCmV7QFYLH6A7ntr
xJWTQ5agrT13e6ceGT/2ybx38Att0AXf2vp89mOVhL3b9wi6m0M+dwhalR0RmFj6V3THCdngXacb
sqKQAIoELOE2WBGLpmpSZLAuskZ8WNGAkPZwFZ6Uwom7YYMnDmfNzbJjliWfZpiEM7AHZV53a1IZ
EV6xeVgrAFtoghtsR0ETl7C0HRtV0AcBfpoLNqVux0/QNAGWsnTyHsAJQKyl6Fiuqx15FUXwxfG4
I7JiA2dqx2mkgR4DGrygAL/xyV1nO6pDG8DLd6yndtwHc/UfoAsENDhuwFBtEDGjs3+DdtxYN4ac
w/1qz7odV/Y7xnS5l5/sBjyhg8uWk3iDozzrIOpOVDE+LBtghRaiPYcuXL5bJV6zdGxIfeFrVwJG
69r5WrJufcd2FDyisbycN2jcxrZ/baYFLXo1E4ArHBcNAOmSV3zQ8QawI6GKOxiRo9OIGv62bsvZ
HE3ZOql0Hmu8HPXFUJeHHlHzSa6hv7ehN7jVuRkHcljruJFpoGWRQavQ0yIhploA6ER2fCMI5lJb
F3NgTWZSvsOkYf7UlPHwHCBA/lEurHzRhyW7cVlhDXT80vdHtZXDa9G2600b1eFjYReANcD8TS9N
tzQvS1a7Xheqzwg0bmtW6mEVluoxowCT1tbOjc6wkp8Kzoc6sUOZZWm19HUEyafUGUJNlSclXteL
rOLjyx4w1odGWXGNgYbL4foY3RlqafVCsRi6VFPzIVl9W79euhm4jb7psARIHwPQEdCA6TFqyKIX
M/ArAbyW0ayKp6NynXGeImb9EVvz+LUBXupECR9eYdfFx0WWNzdZpuoxgWrV+gRNrgCwOBdWHeeu
ml5HpvVtUivkrz2anTjYNYRVR252MKZcKdNVWy7ZEbPYnc80n29Vr6BxnErY1cGJngHmCPNytOY8
49ox6L8PtV1X6JiYrdTxyBtUpKGcVpKuueGvUZaP16vqCU9QN1OcyMzjSIe8Ygw6yNrGh7lCw12r
gF45Yrlbz7sRgniCRF6VRxxNAGayca2m46LnxZoAqKBnQYJEW1ZFXCU+y7K7sVjbRsdcsRsKIQJo
1lvo2BEum6TFHW4SN4+KJ66bAdozCuRR6uyWSq6sllHnxVzytIpiBL1g2+ciiTNRfIxs7K+hf6/P
5qlsP42D40KPwI/TI7aMrU3iPmr5IS+lGF41xsurhrVrk8AA7gWQFQUQTKpx4wEPI3SSqoeJAA2w
ZomvKP9YGjsZYD8hjIdFZMPRJCNGtCsQ6U+EnPFbU/KNKFiHZdBFOYt3Da/RZc9QxQ9jrNx5JkJp
Utet9XsmSQSlfFT+s8vrZtRNPc0GOlQxpbYE9vTQuwnY36mLilvlC4eOGNlQ8tKH6j6CpfiE1KHt
k05Wi0xpvoTPKORQ92PkesCZUPNeQzubLwdurL0LYxZfTaSmCrofN7zOmmZlUM1IXCZQ6iAnEKEB
J/k6s1NYaw5AwkNjqrs1AHqugO8UeiUjfR9wOQ5QQno0JmEsgGaROJQfurmRg2Zj2z6fmSHrwRZ2
vkctZm9tKaIeeD/cugSNc3+lLEJ1mi98Eoe8jSCrbUCo0CjOF2hri7pzqW/7sJ7k0D1RjRDnIvGl
AKokHzP4fNUgE9KcFeFTDvDzoxK2v2KeFiK1Ga5ZMnHlogOSUKN1w6eNsh6H7r0fCtRonw1rALYA
OuqDjeBkQzme2PMW16g5zhcKuV2Xzcs4hMmleUzJxzIQTo/MKCMgKrrM9MdAubQQn6Ev70zdi2va
ZYoc+nFcYp2TmEVHNg6kel62C34b8wixFysAu/gE8kPQFMemI6mKQS5L7AJt6wEFZ+pTrxzh2psq
Xl95uHDf5qh0QFy1nRlPK8Tn9aQacBbrAdI2BUglqtR2cLQTP7a+PNhBoirJkRpsurZzf5J3MvSn
aK569jqufVUdFwzw0oktAkC5FgpBuMrDkL3OoDjNGrA/ny/IGFc4KaRtrrMJL2W6DDYCdqfp8/II
Ge+ZNtkgTohg1CZoiQPw00O2bhDcZ/K5bzEQT2wdhTteLC1fj6AdYD3NCxBXC1pLoAcAly7pSlSl
DuUsI3EwzE5cB98Ll5LB1f0hH0zwBxfPrj1tWSDjERIY6H4cyYZDuMppAAYv1PgQCu5HzekAny+E
aW47s3ZRIhW1xYGWXaEgNelyJeUUxufKVuN4bBDcUQ5wV3bSVG2odehL9Ca0M75nslc3tsNoPgbH
hit0xooZWMXZAHG3DAgoDBeyN1k/Z3dRkce5npcwMwADwE0mNF76F9b09KOrC1zpBsXsIwgiU6vd
gOPjHkhiA+ehbJuTkIfs9VDZbkqXkvg8rXlVHma89jjxddVDqhNS10CytYqlWVZDAVREyks/R0Ot
bUez5zZCtE0HWDLRpm+rAli7Bb1FKFs+1S6qbVLXshVJDQK6SzIX7GVbMpVpO1e81Zj4ojqytAFO
pAHSTQ+eyMsi43xNepUBrwx0STe/7CSyb0JZd0KrXACbSnZusNt5QkNRH1Iix+K4bfN+OIidVQQi
VF7UG9XINtKR7fxjv1GR2c5K+p2htMAFRhrawWE4FDuLydZ5RIcCTeptufOcHtjSUrON/pzKEiLS
7qzosjOk+Yh6fJA7cyqNJCGlG6GqsggKht15VrtzrrAPwL8OOxfrdl42ijeOttr52m6jbsuNxBU7
n9vt3C5vsZvTcud8c95aaAZ2LtjPBMp9vXPE+c4X46po3uKdRZ52Rjns7PI3kOY3qPet0Pkn9RHF
AughCWA7BkWVPBLssgmIrZgtJkWz5ymQ9P4Y26n8CajHAGgeoZBtGBAfAfCAqwI/QvWgYUOFpdSk
ZdedDDGQoVO+RgeLyijphUcvezY2R0Uvu0MWsnDUA0nwKhsHdvnj5cY/mce2Hd+wC6xDM0h5oKkZ
5xoduHTHEvi0YysbmkKRPFhBB81BatJ8Rvnhx6N/b7OFxEC8Y8kUUY+kXrFSuXAg9NIxjg3IRbUC
kdHbn2z2FrIH2jWE9NtRtlh8s0ZnjTWlHE2q8nx8znuxHFA+TkfWTDT98YLINuNHY0kgaYSgoF+r
+LF4DcRrVpiFmRQUORAuxgBHHiqmq8hzA4LG9VjwFZ9a26LrDGj2dB6AypW1bfBxNWN23pUZk5pk
VQQcdVmd4JVE92OD6TVQIND7RtCLcaDPZXyZj1CLkh/P/08BgZYaQZGHZkTJDW4/3KpymrJ8LuMy
JcRCxJWxh8gYfPofjAJGAgHWBSCbANE/CIi3dC46FZVpxwgcL0WbI1Bi+RfW5otR7jsn+U9hh7UQ
BjAfuhcusXiU2vkCaI/2qkyjabG6KBA7MjMuT0KGwk90/m3CD6IOQ3E4F1QhiQB1bZzDgwzDCCFj
qrT3Q367VmPzhvO8P+pLHlKvbPQ8j4v/ZH1cUcqAONnGf7Q+t8IG5z3sYmmA0yQZ60ALayVQwqCl
/zhg39tKQTFjsSDgJYk33vCb9fG6mIBvgLSYVzpcdIVtEjsp/JFVdPrJYf1zBkpMQfOBnhOsK0D3
PBwKrb1ZulFVaTevFuSj+rOjov1J3flzvCAfMINMhwZ8y5GHg3iKq4GNZktAubwdAbOla8SKMxW1
/hwVXX3erpETP0nI7y3t21EfLS0Ti0WsyExK8bSeTJ0Zjq2fyMmPY7Ud0Ye5KLGUQJZRsNAABfco
F3lYTNUD15BGajSXTTUCqJGhTRrWkRe4AJlEmzmjJ6wYspsfD/29BYLRCLQXQgDMP64eYfVdFIUA
l5oQIRUjqc6qASDwfzBKDPkeYzjUuwHrQTKWI/RZGTepJNN0RKEuHuENTP54lD/f0GDDAhYc7KlK
ScLjRze0lWBmANRagrwKnWzazzYHrQlA2KBH8FMMmlpDz5aiisCV41ALBbpHmd6kTgIGja7rfzKj
LSkfBxaWTYG7hMuSqkcTmvKW9f3KYEJrz45z6F1ftdzU4PDpBNLxOMU/yaTvnBJwSIP0QMFcBq7D
R7czyFAsmuRcpkoORA8DJlMqI6tOUCwBn5edOpuk981PDuefi42Eko2ohFEFB//Ow8M5RGBBxf1U
pjmwTEe8LdfTzIwt18DXEvGTZNobrUe7SqACELJdEQgq6cPR4hYtMs77MrVyFC8BRcTa1z666jmS
6VTVWQ6UG54AzloSzjFa45eQ+TZKKWDY48GN2RFwVdnxnn1/S3G46O7bq8Hd3w8gJjxWEL4VEP71
v1d1IODxgvj/tebwHQv3H+rDb2//rj3EzwQkaywV2iof5M8f2oN8BtRgTGIO/wH3sxX8r9qDfIYU
lOUY7m0RK2h2/9AeKH0mwVILt7eEvogRkDN+F1l+a0B+6KGM/1QgGXwJjcFgRKBNwPxRewUPqxEv
VQ+trrgUfd5d0BGuuUJHK3i06supXn0Orh6gcYGLApwN/K9elPMA6BG42wSYubBZ3BWJW9WAGYEG
YI0sz93N6F3kLtfMo8qnzRhzURzWhi7FjanAasZOZ/ASRO8UcJ3egKGMz+YcScN4DT0mIGamce0m
kEhlNPnorm3KKFMJJ30B6uYkeZtdz8AZS52PuzVxtykyoB1U2u/2ReZysDKytm3lOVeReslmu7pU
br7HsOuiYddIvYNSpc0une4qKqLFclk3dP68Nj6OEroJrpW1ErRiBf4AHWU2VgmcXfTcIToA27yJ
tsuu31ZlLG7Rruo2ZVFxvdQmvjKtFe+yTQAGGsVeLbsqPG0Ccdy2oPrmwJNclQL3F1L2/Bx2nWS6
3ATmEbsqg0sFZOdyE6CzXYtuuHGf6K5Q202sHobBVYncNex28qBnFwY5pcHgAqQBeADDi3UTvw0F
ZURHmyTeb+L4imgnDrVaovEw7Pp5H0x3qXJHKjCibAp7DXrPWbXr7uCQAAmeh6rQ9a7MR6IElR7t
in1kOlDvq03IZ1k8vXO7ut/uSn8GS7sqd/2fB0Ted5spwG72ADDsgVNg2UwDaPcPFJuVYNldBcvu
MJBucFdi9x1YFpUXZjMjbIIzcFnZeAAmwL1fNtNCttkX8gKMDODfG85NWVVC093pUOyuh2h3QHS7
GwJvxohqphaY2N0vMezeCVPQ6DZ3YKiwu7fCjQXYLHbDxe696HcfRrRZMqrNnNF88WmYNZtBjN78
G3B7uwy47YafL3ktnvPd67Fsto96M4BEfQVekDxwcBPtDpEenB5g+AATmwQqF0wk40TBT+I2a4mY
5XIhN7uJ350nEa6aKzPEBHwauzeFgfmz12j3rDS7f8WIar0Hro9WoHSj6HrcrC55tbleJMh3b4DK
F1eWhRFo3M0gw7oK3KNo982g3UNT734a1zb+CO8um9xsjhsMetprAZbBT2S35ZQey4t18+pkKAd/
xjSG9k29eXlmB16ptJpr8pLvZp91N/7MC1FdAgJh/kmtpb9lOWGXYE4Cu5DdrUNDj2yt/W4pIp3I
TsjuM9ocR343HwFT1Hzoywj0+8i56j1AUzAqtZtnyTfZ0B/mzckEplgwNYHnDL5YbV4n6A+BLRgx
hX2OdzfU5ouKd4vUIFf8ctx8U75frU3Ahwi0A92tVZnqF+CfYTXPo918BVRrfZv7zZLli1EVidut
WgWONtsWMvMnMRdg5sr8ZuyybHJt2uyGLyTB+wX7qK7BhRR/APgM1rD8/3F3Zkty29jWfiKeIEFw
uiWZmTVoKs3SDUO2bILzPD79/1HuOF3Jyq48crf64r+QwxElGwUQ2NhYe621tayfD31czx/tjTtm
GVnUhdrGKEMzB7lM+0E004a0mQ9txuIE+Q9CWs1feWv+oKnVRafeFD/Ia17e2hpVz7aIfAAjCG7R
xnWb87aaT1tpPAlzo57GQMk+ySlrjWvn15BrT3Y9Qq8zjTUGQ04MExYKpS8YLGaqZYe47Z1XfWpp
c6AluWGBh6fp57bOkvdelHlvKHLGkz9F0ar53jjNFYQ5Tej+DKG28hdll986iDxfdKHMERalBaK5
iCz6zVZxvRw7r0llCNdReL4a+uVOrnYBhVbvyPFSvcmTgxwVBOWc+ot5MAoXYtikDRZFrWG97aou
BuMcRt0N3VWJF924AqJnbdTCirOTez1vh/Xowo9LQT7L9s8JuORF0hS9CMdWd5wwcYXZQUfcqIJW
38CSgt2sfYanDwY6L7kRuslqvDeptUdBk1Wk0zBR4M5OWSXGIM5K76HPotXyzSRT0SGKDAPUWBfa
hykx1w9RMg5GIIxhrilriuGbTDsTZu4E8wN+rs73ahL4eEFX1vUbs0xr6CQ97K1iXjXTNw3NvIHv
9b7IqpYTZTb+WGpjAkOvSBo/lk6/hqMHRexgTPX6rUlJzINypGBw1Csh45vc6LwHrVSqDzxv7sW9
Se3po7FCHQyjflm6g7Sndr0VqfQ0n9Ptve5LcOQw7jW9O5jKK9PbZE2r6mHNFqsOxiW3fc+1um9W
E1HHGQ0CzKEum5ZC4tTZFZ+CJ1Ew68PwbTQnbTpQZDXSI5c9hSZr5joLzGSiuGJlccyzNxm0xG9q
N/26dlORv+YuMtLDsGrGGBQVb2N/hss+QMhtRHKX89wsXk5j4r6xkixvQnNc85i/OKfitb6WyxQM
qz6yOI1ZfDcybqHjotZoDpfZUOIYK0v1ocHytqEcFqlCZ+jk9D7NV8j1RV5rhu9MInqbNM5U+k1q
Zlqw9qNT+wu81z/ycq7HIIlLj0rS0lthsy7FSwEy+TnqI5kHsLXtl43V13ZgrktdBq5bp7CcZWS8
HQfAf5jNlXhlREbdUG5dptk3Js/Iw1y38u9VVC8fWovLrrbcFI7EukSJXxWD8409UP/pRuOPqrMh
365Dwi8FrONkfk8+8bXr+6kPRjQHoOdj6742arMxTpF016+xNukvyTxH/d6lMvh9sgxzgIK21deb
PI1vI2lSFQUKKV8vbD0DJro5wMjkRcfHVAWHzplT/UEthcyCSup8wBHg5D3JnhP7DeWfws/0zrtF
Btt9aETWJ+HEJngnYnNOgtJcJtQWZt76QPrjQ2/CnQzAtIcXHehD5m+1vFdOMoH353pXQdlr5iiF
VKqB7idNK/2mG5z4YaIO952Eenonym6sg6waBflpmbkPdlHFlOSdJn7d5AXkz5H1/1TAnH89LbVq
A0/P9cbXtKp70+RL9HtW1+sakLlqMfUcl8o0mFn+xVPc335cq8U5RCKn0FqkTpcfyPbl7zkFgBJ0
q1bvlSz7ggKc13wBXkfvkNYlt4TRtIYfRZnr+rM9ERtSZEx85coY38NjLgof+qRHcXs22yEU2tL9
6S32OoYqM+skmMaFxbZiwxj92pX5W5l0VN4aI7N/o9LpPNSQBd4kS+m+ifQOYLeKYuONYJO3B72n
UA/lpjbrYIvyy1GkpjUc0rnPvzl5gzJjrctCO2rRUnlhuVbufVFI6knHaYnnT565RsVxFmaEtAFo
o6Hg0GgvJ7HK7hB3eoTYoI+Jzm4O5BuYFdT1153lOd+z1amyQMIheMkhLoabVtjd7aSMKQmbajI/
r1mGysVzJpgbrQZPgKwplRDQLSWConDj7mhxiNtANtn0ZlmknI7QFdYh4BbWPmqeRWEXLpCeHUb7
B+N9qo0veblKnSJhoqW/e3E6alA0YkvACsk091RTkVefHEgHXmgnWTy5fIW+TOHnya7+NsaxAbt/
pdb8YeM2yLD14tkg5Y4Nqp5ijVOyXevFz7+n/z9h8J1pLh+LETem279+SJ/L2TdR3/b3//F0Fu7/
bNJC6QKWI1aTNmWif9D2HPN/PNfUBSgzAAnQLz/6x9PZ+h+xwd4bPoaG20Ck+B97OZ9BX+gOPXOj
7Bk83SlKAPydgzSmFpepiFuYvVCOzGDF2qA9DQPV9bt4tdL+CgZ9jkBtw0lpugZDCRBUQ+yAWvRg
0QBATPjIusX6PueZAeO1jBJNvoul166/P/oS/wAK/nXN8cd4lo5EkxnCyrG2dXyMaOok/O2SNxAO
Nb182zum/b5J7PQvTOlf1kN24IMJdxJ4Ax2nLSi56M4OV+NYe7EOiYH6tkY1vOdKBUbpD8/PZYdS
/jUK8IZDpPKEEDuIo4o6iBomlduoTL1DNGgwoyj+f43ntQmhXWivnh/v6awsCJ068lhDupKdeL52
ubE6lje7rT+0HgUed5qPKh8N/+dHMS0HXN3gjFj6blbG4CZpq5PjplKJTzrp7G1fz2v4/ChP1w7Y
cxP0stvZB+5WrH1UZmmbXFe947X+nEnlQC+feS9nrWUh9/LIcXyjmdT758c83+tQvF0gVrSNKHuB
uoClzsdEktXUxbi0ftWU4k7XGiscuyx9qQ/uNaz1wlCEGA4UIDYY3H5riBp5ZjFkDJWPNSqXcj2S
iNYQj4r87vlZXVhJW3KKhcMyOoB357OyarukllPAl0m69JZKj31jEydeyIpke2or5wpUfmEXPh5v
41E//nLQd9bKHhmvLY21vimMqNYO6WgnV8a5tISWMKAtCaYHXHk+TlS4yD4qFDNe3qgxSJFeLWGf
DOtXMx6bK4NdWsRNXA6QZuqUdbafP9qOXtPabodcCrhMZOEwtuKVsu0osKS7hPbsyisFjouTcykI
w68hddsrHUY5RG6fCERB+SB9CwjmkPSCh3uyxlfO86WhbB2MmNMMs1HsLhRDQ3mizeSlSwtTrhe5
/apLofd4RdxeOWBb8H5UYNgOmP14qN0BG1enbjuDWVlr9VopJz65sGU/blXQF5PMmo+tO3x+fvdf
2o2Ph9zFxFEm2jxlBgsJGy+QbWQdES3G4d8YBZUIejxp6tZ+L3Ye2f2qqdavSazf8FBK4XOW5uu/
MQqbncNsS4ts/3wTRlYkG+U5jV91ReKbEPKOyVjZV+7GS1vddpFA2PBonCelrtZDAZ40CEu01jNt
KMN5dpfbRfRnUXfqvUe86q8cros70LUJhx7/Ryl380o1lbeJDbjQk5id8nH4Ykn5m2iEc/j5BXR0
Sb2BvQ51bftFHp1i/BXQxFqEDBSjTjAVAPYyJ61/fpR9uZRtbhPYqUtuXBsukl3ERdGbIPYvW78x
W9PvSnMKrFWlB/C4+FROEMhr2zrxQstOptVPms+TmccwBfErUeTp5rd/EAio6Bnb9bb9/NF8PYhV
4zhyyxhln9sPZSdVd6vMoeiufMF96fDHlE17K+WY7kYZ2x2zuYtdZcwVgsxEZXf4PIzHpqnN99XY
voxRW9+1XV2BJCIrNxk/mBeog3yD3ui922HRmiup0NNI43G5ciI90nXdMne/z7SQH2lId/1adydU
r7GHglT0U2wCCsSi9pN2tN92Q1/MV77+0zVnZOQ00oV38DQ9WqA2FxS2wFbMyg3aCtOBFVHolS97
cX6PRtltsWWsvTVuCNq8cMcQeaUIpibSTgUCk8X7UqVT89MhjnnxgVk4CGS6t4vdLmiUSUbZUNeA
2al5M8Rn2ZdXVu9p8GEUVKqUIU1q0Nbuni0r6F6d00Phjj37beUuzcHMuvSkw4/8rU/a9fj8Wb20
jmzZvzg21Ep3EQHjhxXRBTeSnU6yDkfEffeCqkLgol16KcbF68M5Jgu8Ms9r4+7maQ/xDCogkU4V
JZKAqapuazWsL9NBa+9RJMhAz1LjSvi7tLhbtqnDzrIovO4mO9du0eRtyeImhvW514Z5OAhvTE9T
6SGMVqXWf3p+ebf/4/mFDyxiGKbJE4hrcZ8LDihFSqsDwBojVOd207ShWaRAkOX882knqTQZjI3c
Dq6EtTsRmVzXbLIhfi1oiQ56tg7Hubd+PpmGbAMbhkc+VFXQgfOIWi5dVUmx1BQy6+lkZhLQMXUe
dEprfo5y4vnluxBLzkbbdtGj+D3FYFizTbTSkzwygK2pmwWRaNflys5wn34nx0HyuO0OCX6x/fzR
QJxjdM5qrf181Ls75WoFZPRCv6sKyz3Ujj2+nydNg16Ovm36+aMAzxJCAfk1D3JzN0knm90167n9
V6333uWNJV7DyRyCWljNbdXiQuLXMMSvzPjCzvRg9HBDCIiXtthdELxJ7N40JlJRAxp6bXq5Xxup
wmxn1H4+VsPq/ZFd2zxT9r5Hbt0tnYxrEipVjff20Ay3hdlbdwk8jJs+cnoQZ7DlK8t64ZMCcWxE
D24iSGi7u79VDf4nPaOag03RNk8SVHbUae+syhxezZKaVOl6XdAkY3Jl6Cfbdrt0kWMIQyJUh010
vptwkSrrpiGixKmLgQsCtyNYzPjy+cPx5AsyCugDWlgdzvST2NJGwNfTyp5dkx6FQDek1KKSLr8x
a6f8CzP9v+NF21ikprwAHbAcY5ehZjKRiUVhDFsA6i9UG7T166iJ3LmyVS7OScJjdV2QAXsfxCh0
1S5Fi5pdiWKlqxdJERGvkmYeuiux5dJQGKzBucf5C7nzLl72U1RWVYFtgdXEnQ/soYX1uiCB1Jcr
yeGl7UAuxBHApcwzNmO2x8EFjwiVzCjbkQXqyaHVyHUVxerD89vhwijbNcPVyOJRO909Y7vYUV6T
JIQwC8GVbncKzTLOOM+PcmHVYORueB5juGKPvmIQUou0wwxosqjx1QSqQzW76UPUwEb4G0MRLiQ3
zkbc3kUoRxSN0uIMWWIDsa7P8PSBYpxSzfWuULYvLR146P+OtP38UfQvq6WJ1oXar2ePH12nNA+l
iOor+227Gc9SgR9CePQNAGz6Jog/H8To56aoDJSIhl3pL5p0bvChmKpbL7Ykorxpnk/Pr58hLo2I
UwTCfGkw6m6Hw+RK86lhRBl7LGBjIEAtkQlAEcL1DLM7dVPOY3yA/OOdSr0Rf2qLhi1KWR+VOWVv
n/91Li0yH9K2gNJ1lKC7+W9eEgOia7gv3riGWq2lByCCP35+EHwFhHRgw7NvdnvGbqY16WoLoX7S
igQ1emr3Yad7FIOfH+jS13QQ7BDkIQZT+jj/mpHMSt1c2Jxoo+YgVeYPIs/RsMabsteWK6NdWjvX
phbhOtJ2OObnow1zZ+PLhrGY01vRfTYuzW1NFA2fn9PFUQA8JDkQeeQe2HZypzWxUIMC0RXti2pQ
xWG2zOQKHHthFJaNRxQRkQ+1X7msrLTMS9SWpzrqVT5hfGUklvpZqAiKpg4CQdjgbeP+cDd5dKRd
nGV6bdv7CNWKl8Uyi7COSvdKzH2KdGzDUIiCMAywLI1tso+GKWwIl3rh4JIwRMkLbXHNo9Hkd9Vk
eb6Nit6drLe1pkeHRjnRPXj3ne0h8nr+u21ffxdZON+GSZkAtMXdPzJW1MEeZXMSAXsUOO3Nivo0
Xin6+MIapskM5snLk9t2RP5wZWNeOAa8BjZSvGlbpFm7Y6BVytKHwoNrVEDUCJRuL+FUJy9MGUt8
ByP++fxcL+2erRTHJ4U7C3PqfMEH4WBCqRNFpFKJP3Vme3SK9dpJ2H7t8xU1+KQgZOwgiMD75wCY
czy3Dp/VVkmML4BT3S7wXW9hV6orW+jpCjKUa5Im8v6AWr/9/NEOIlbaemuxglWGN1u4VDm+SPqq
jA9eZ1rf1VRMUfj8Gm5rtJ8dJ29DGglfkKTPh1RZg+dbY1b+xkQIpddYHxuox7812CaFhlGK34BB
5vtamdVN0Yru6/PDP92uhgmAAiWHKif2nLuLoCgbbKImSJDQw9Dg2s53bOC+WiUAFXrOwh/ktazy
6abZRuTRSjUNlNXcndIOQ71EGE2FT5rg0doMww1H5ZqQ6MmDA8K5BL/lIMDrpvBxvqwi7U1LVj0+
iSm2qIGLd9bnjZwEq6GO5JsmG1eUyK4CM8JUrrt2R1zYs5Zuk86SA4Ie7QvV7Yo7QelAutHyqDla
cbZAOYsM9b7qWjO9cgwvBD5KJTyVHThLW/TbTdYUWoYbjM7Bt7s3xMXsPUL5LBxlC2dPdsp6l5kF
T+U5mroeQVoUOZgcdM0H1cqyvvLeurDy1GMhA7ik1xs7Ybfyede3K6Ic7HAUx3Uc+t8mm3y+1FFw
wDPKXnbuR6OJ1U9fZSwCZXT8fCEGWHtVoV54udXg6+hbi0T53ceRuZ680Ui6K8t96dvy8ILsgJLL
wv/rfIJFWaYRFAcctLoh+jAuqekcFsOL7jGXHZzT8+fz0mBoi3iwA/LwZ7eavRRCacjk/RVp3l1t
VMOrqcSncbTxsHl+qAvBz96G0CkoOpvV2Pm8jEhai1MyLyd1ou9pbywf3N4ZT1mZ5zcUNNWn58e7
MDUweugt0MGEC1XgfLxcakkxLBVxHUVBqCkKmG0bU1Hnv/n5T+ZScuZKZGqgxbuYk9hFHXc9pmfe
ghrCh/U9RJT9SvMWJixY4PMTuxBTXXIquUU5TMP3EvJ0Lm0IYRoGA0WRBij/uxRzQgp/GCF34nu/
tKN+arhrrrycLo0L3MiQGHlCJtntlaGfjBwPOcadShCceUjkK7FQaGzLRH2YNv8ld1TaleTuwmeE
oEAK4JB88S+74zA6oyx6LSbU9aAEMNw9v86aKnCc7ppO88IOdYlzFgwgUGPYT+c7ZjWnwRmnooLQ
DVMxH1ZxWuzRvRlauJETepYrQMulqfGs3son4MU8Fs/HayYnbmbXKylxSvtWaNgFFbFVvV1d2JrP
75ltB+7SAJcsilqDA2+LC/J8KGwaRY8wuvT1OMlfyRb4KJWWOv6NUbh3LWFRDUSmeT6KXtRZYVtE
kybFZQTKsnuvNDX9NBa22cODSLiAuJbYC107RenNXmpGya0ZxyjdzpcbmVJXCxc0CM2VEHlpV4BQ
be8Ykgrp7ielr3Y7ICxiA/bvxn59KKpm8m3yKd9p0p8Ue0IAAm7BbB8KFTAx77rzJYRumtpmzeFu
lya+K5PWPHZZ7Nzq81zfr9M6XJndhY1BRAaJ9nSHMfe+BZkj6mmGfeZPYw0VfsV2aQxjzOKuZREX
NjtDbMAYGK1EeHY+sbmWhuoTzvE84r0aFnAHQierXDx5k6h99/xGvPDNWERKk5AUkHbuB4tmYy77
GOqwjfy+DPl1mt8x07QijEYBckH+pfr56MiNDVpKTgIlcn9tQ+4tZjWL0k/HJApwAQylgE3eDZZ2
kHjD+PNsTFdugktrSlJtbRD0hjNty/DoPaF6bLsLTZJjdvmdoJp4QE6HOAzL5ytZ17WRtrvh0Uh2
DS0MVlDp10OfjLeE6j4/lEsGJzzJaj7l89/vwlXjYasA4E1usvmSng9X9K2LiAs3vH5e+9O6WNqb
1Y68sLG65qDN3nLn4ML46W8Mam9hhePAa2k3aFt4k5G4JlxpTN8QKubZB4xgPyCsafFHaszj1Cl5
ZcwLz7PN7GATWvOqB3M/n2jnrlWXmm3p81JCrqbKOwR/+aclUindusziK1ZyWEBpensrpvma1v1p
Lr1VhQihZNQQfPeHHxM9ZzZzWNmDMxsPgygXP1dt/E2LmuHl6mrRgZYR3Uut7q7cfE+jzrZdOSnk
0QAK++uIPh9e0oNP+pGAOERJIz6kZioenv+gT6MAr04HHBJaGTja/n4dnXJIEqEAbKJBfY1XNaqw
pxUaNmTRXH3tByv+9vyITxd0e+cCqdE0RVCW3QU51Rea0lsyiAKfn2mTG1lvPHz7YOFTVjlaJmp2
hLH6ZroepddYC5dG/5HFb31ftjz7fDONWoXpJ47Bvl7XKkeyz8EEu6/UFHhTjh9oUkbrFNazTjsP
wGLjj+dn/zRImNwhEMIpS2xNXHYHyKYiQZpMkBBzZt7y51tWy+kklOsef3okIFKQIUo5PwD285ny
dhDemnNLlpHnlEgr3GnBd5Oa/tEereWa88TTU4orDs8I8kK+KbDC+XAd8jxEHR3Xicib71wgqC7T
LERHCALXl9Upxgr5Sz059SldTPnx+ck+PSyMDpTuknzjiOtu0P+j2NsPtBgZMLL3YY6l90Zt676V
luKnj+Q2ikuhn2oPFNPdc4kT4sLSRoWFRtW7Sxf5anRn7fZvTAXlP6cetqe359V0cP2wdWMQpDr1
G0jp0UIRWh+vccEunHyXnQFUiRMxyfUui6J+inNVOeCmiu1e6DVw6j2jiG/h+813rttrP52SQgrD
vZg6GZKFJ4ywLhZL1WyfSNNS85CPbv7KAvc6FPEs3zy/hJf2IsxL/S/AEl76+W4o0kTnvbVw5ztT
d6vTkQmBoixCsUz5bY0hyV1Dvf3BatP6i3JUfeVmvhBjSONYUlAnCPF7brCVZyPUD5LvaI6xImxA
FN9IF6Ggr89O+14IzRp9SybNe5nES3tl8k/zAjIstBIUe0DA8ZI+nzyWczU+RVhjGmulf+FjJLZf
Cg5jMKg476A6ZtnbWJutvxFwGBh+AR+ZsLPH/vsk6Ro6BAGBGU0XaPyGtyMy2M+GM2RXctfdcefk
nRvR7e6QX2VEt9tH143oqCeWd5mpvfmP+tDtgpv8z/rQ7W6sH2v9yCFuX63/dxziLn3Wx0Nt5/pR
FP+blne7wPdjQt4GDG8WdDx8dgdEG7HCUEmqwihpnekOA2SJz+5SZ+2tuaSe/s6hJdFPZnPboDDp
OY2ImXDj2Durm4tsWqvyYtogqPilBb0p3JCr4PnAd2Fqm7WeQAaBHsfZp8oDYpFIA2AKvXlxi/vB
yM3spjcLR9ygC+vQADk1Ef/5QXcB58fUKF1uTK0ftn67U7K39UMzPiQrBiDdZLT4fTizh+ulGqcT
Cs2/YcqHjgoQgAcCzR6ALs63DEbFjtQiROZW08c3ehstgQ3x9cq67iL6ZqQFSZw0ijKtSS14N8qQ
JwhYKoFFcYIVfLBgR/0aJwTvQO8y7dAt3NZFWZdHE4nmlXD+5PgxtEvxGT6coJwid6HOSys9ytLC
pJlbpZDVWhgkfEz6XuCJC8el669Uoy6Nx7ngzieXg66+O4NqlbmItFoES4Y9Sz6tboi+MA+sAcOa
5zfOhaHA7jczNghOnMPd1GoUXXg/ekYQ8erYWhmtuLmjYM9Q11z5gLuMYPuAsCAosfPH2TyyzrdJ
mtmNMQ8Ts+r06l5FZX3SIgy4Bf4pb/uRGn80DWmQFrP5YjKt6cpHfHIut+EpjZDUwdxhp54PLzTP
IwdGV8wmdU/aimBZ2i3AtI6pQiMr/eH5lX0SSKmL4G7HP9gzTH73Eet4ziIcSSJ8ujN5k+XleGgS
LBeeH+XprM5G+eH3+ShcZ57pYSFjRgEVfSeI8cEO8hnmnaG8h3E0r3k6XhoOdHYjZyOkYH7ni2iV
YKeJa8chQUwv02Mt2yVRgbJyM8eYuJSLKA9Lnyfy+Pw8L62miRIQGiwESgCs84EVUCMcfoH7Ek79
X1RGGbPqfpIOxEdCVgspGkSHChAn/nyQvFpyZaPnDxam88XTK9pTzmV9BYF7OpVzD9PdGv4iD9Pd
XH6Rh+kWXh5tv1/pYboLH3QA4Kv9ag/T3fx+pYfpblv8Sg/T3d74NR6mu3jb/Xc8THdx4hd5mO72
4n/Tw3Q3wV/kYWqen2sr/Vsepk+Tj3ML092j6p8WpvqwRsOpmupOHNe0zYqbphB9f/v8HbJt60fF
RcI7wz0yKN0N98sNSvd6+f+WQenu4/17BqUXFvXMn3S3qP/0J8VpKK6Qn5H60UMYNlCQ2F6nbjJZ
JcWV586FjcMzDhiLIsjW7XsXW35ht+89g6offkW3731A/pvdvvf7H8z7cae+3af6dzr1PXmskWE/
btS3e1bsGvVFMLMiHMMWRK70Z2l1j+6ozYRjnpzqJvuaTv/bE+9fqkMooT5JtHg/QZUkQd6YIIjp
z4PYP91MF0vP0IH/301MDUp3UXOgRSz+nu8u2JQqpwSh+BQtNPFIb84sSbVEj7TUT7KxpJPHP9qi
q4UOpnrYj5R7ceX10tZ8P861p1WBrdS0/X210jCEzpBF/6fR037p0ypWmy6YhdMW3/9qIC6GJTEO
qUZvETz5jD4t7oY6Te7+6gc+OOm40Lu53Lzi6LbRps5RSHrPBgt+bBNtU+AftS/1fHNLSE2Vux//
6rxto6XUv3sd2qcPGQ9CDP8qZFFGScffrb3XmGvpQIORsZqju7pNiz6gcltO74xFs5FL/tViCysy
NwvSpffaD7Okm+XrtrKwqss9L6JTBXOprC84bA3mGpoYZzoW7WLXeDUP/ZjOWh/keo437k2rOm06
9QVUK78j55/VwVgSFzFt4TVeQYPjOtLDSkXm8rYaVqP8ntelLZIT3b/TTw0N02EGYHJYa6/gy9LO
vU+8FbLzYOArq6yRTpqFDbPkszHEOqJWc8U29l1t13BavRjriMPc6U0fDI6Vpw/d5kNThJqpDd4n
K1qc7ms90NZlCACZyuFdR7cmzNewV8tbmp9pkWfcKFP081s7mfuMV0S8Dg31ylTXJM5RAvfBT/bs
5PGHxHLHRjviIDCN+W0+jIN6cNRQj6OPbMaVD9PkVPnk93m8NZrcqrL0CUgWWv99ah0U+7y7ytrr
P66LOUUz/RisVXtwOzPOf5e4jgsc8DQNDy26VrWpcKn400X1XWUr3fpDrKuM6XksukbpgYpHJ1VB
4o6tQb+8oanansZH1YSTY49KwnufRksBZ32obXc9LfRBKb+4VqbjKglfQi2YX+eDM32lYjoK3e8H
ma1vmgFbue6kdTRMNX2Rlq0VB1ncm0NLq75VRH90bSkstnJk05HT15bF0D+7cqHLrK/kvLa4KaZa
s3yplbcad5Oo5fpBli2dZEwv6sv3qFvnPLS8SJsCZBGrQ9/dPirDsUoW/SX+YRGCf8D49WOuwR7p
w2qwGbydGufFsqS2/Nin7mYHGVVEoADaXaf0ECmREWs3zZJTefXLRi7Ll1IWHNRjodNy1cQqVccc
E52FVrY6jURFUXvBVgL39FD1murGg65oP4NDsMioBdwPGkpOL8C2dFi/W0qjihVGqoMFhPnYolfy
CEWodFHMYR5KD6wU18LpCwxLjYbWqMqj8gVGqRosVXx+oCX7S+XG2TeraWfc4fCfXfW3tsL900W1
s0Re6q90uoJeQYC1ht+LdEkVLs4i9toh2PgQXXfnGHkj+1dZhcdge9v2uaqHUzsjDe6CkcYGjh3S
jyyyXpRmahcD3kWJKtVtT7RO4UgbHtI7Ew8bKxCSJuxZkAyTW4vb1SwIXx+iHGfP4W2ZmU3mHboS
lzfjQ0uHYs448jPLTLeapOa8nGnGNd+7kIY6cajjVeIe6i2Dceg6LGL10NOmtMXUtFmamwY/D7ph
G0VPh3N6yInJ++4WgprHsU8X+09M6ybn3sBjWv/qJKKr3hcOinxYf5CVIB4iJK2+CzPGCF+MKw56
dH0ex3vdrp3o/UKTj+Gj3ldtfsrz2Bb3nYsfVUD40n9z+gKDo2RY6ts2WvPTZEW0xmumJqZ3ZjzF
L2mmqV57KA+OIvey19TV8EwNCsfrrPduYhXZAbipnWm+R38K9RqT1QnxLm6MUvuM4ehS/86cEvNz
b6cd7N1B0zycWOncGRoqG5YAHkJunqBb6/l9t5SRFdoTaXqAw7RoPpuDcDXd14qiqV9oVublb0VG
Y7IXRlpZ0ZtGJvPygnhXf16lsaiPeFU20e/OmrgFvfk013noMQL0PsMFaqpjV2mJEyqjHpcToDoN
7ca5hDR6aLQi+oNGe0b7Btpqgi1gjCP9b2zZij0XGdBdHlpblOV3L5IpXeW1lnWgdeHYmn8kcqTp
jK9VrWBXs0f0+cEyC8pTWrn09rtyWZv1TmmpRNov8eTOPkax2+vljZw6u3OOutVixXcz81CIZgxT
3bT9c3SXSf9jzCS9j+lMbchBC7qe1ny/iRbvaBMFfTnba4hCAyPsACekOJ59z1OJhVajUhsrtVVm
M9MPdCmb8g9nKOhO51du06GWVbHovW+NTPX6I27kRYKtZMVGVz7MsNUWWE0uJk20BmMo+pJA6s7t
yXXHHA06dY/mZaJZeF1AlMEyyK1m4jnUg274UsALbX00VMlAaDRot5bBA4FjaVQaDY3mamuyqWeJ
dD/OOA8WH6NJK77HZZ26oJX5mIEG18ZHQwMxC0z2ohngcdkWv3fD6r6F4MWN7dHfcX6wy2m+iTlf
+HYrU5UB0af57BoUfrlgx+xLB6nnbb5U6Xc7sfripq5m86GeJvsB4Wnc/7gWvsSu0c7oHDv7jrZy
anhHpuACSSvLK054JafTCUOTiD52DjbMuEB6rXWzdjq0Fui+xcfKcPhY2Ijetu2iGyHYqNJ9VeN4
EEDEw47AavI8Paa2Fb2g/cJS+HWRr98Sjfv7tu4F7Sxr1U1QsPu+OLRYXx5tdzHoBa+X8YnHB64h
9ZLVOqS2qFEhzdcrPRghjYct1YvhNHG9fTHhYuZBE3HHBBYutVg6LjnOQCOs1h5/02nIbrtkdBbc
Ul24Y7jF0d2tTuZpDJNF6+Y7POryxU/T0rnJirafsayZXCPUNa4hXLEZKhgqkcH5MIZIBq1RYcNs
zmLGSHSI1VvCnfiEeSeGwWLxug8ydeIPFm3g/lQoxx+MFvsTVkTT9KOi56QKdafVOQ9V6uFXjRm3
52McU9sv6qiYs4eqWsvuJGSX1rdzhUbnOJi0zv2QoTRvQtk4GOmmVjdRBqrYmnbnFfIQLa5eBSn/
zevtO4CEL1imBn0UCRGQo1ROKFdyEXiJC80p+RVpIW+Xg/jmTVZxH5v0Ig1hNifMQZ978/T/ODqT
5bh1JIp+ESI4gNOWZJVma7AsS94wJD+ZAzgTJEF8fZ/qXUe8ti1VkUBm3pv31HDR2Sq3dfNn4Kup
s3pvxdln8zvgp+2xFAXBCH2065SXjWXcncG48j8ZwwISKFXcV6nfuOXbrIhBv5ZlsXtpRKWCBaOJ
E+Cdbjs+qhZa7TnyGjJtkmUN9dkfFgdJP7EqSQe7DEdWbTh7UxG40FTJL3eCk1278WWPli74Cfm1
cbM9FI0mTTkaF2CTkzEPQVSOrFqXfgJStNwjNx/4Pscfk3W866FsuuBm8FtT8IcEKOE2Wl2b+mwG
EWAdaQ6zxdayPffdJh49rFXDlzuoIxUxZ2Y6hWYt86qc+Gt9FSVklSYbFV8Y1UGJU7yP7hKAWfKK
GjcWK+mivfpWlnjy75DglXfyh7lPmqqu/bxfkmQ+a1s6/C4ufFiqJUn0447d47Ywc/DmBccS3/YF
ewAZAdvli43K3klHnPd3ZisoLrd9p8jb7Jh4eTjI0mQETyXELlamfjomz/uzyKS6r4F+yVQ7fqk5
DJOGuN5i42DcLUjP2XOOP2JQgCghZ9bui7dqIgsCLA7du5qnDb6PWvTa/+C1PCxhi4abLyxqRzxV
1LWvdhVEu5BHXd8NbrAm2UDEJAU/cdpkrJdV7F/zVQXb2a7VvvCokq28sW7SgJurdZGWYNmqayKj
p/CssOqodGONKTqTtwzSyoqiq9JqMO673MXFEMU2Z3MGpLScEn/DDVqYqriy3uaQQxSUZXclqKfH
31Xj7+kYgxLMlnLl7ELZiFSX7qxIdtcz+65P8IO8Nkc/gsYwRdplQ0zQs/B+hbXYrmTgmOa6lySM
31Gr6BV04xw0xPsl/D1OswZLvhjJOjwLLNVvwG/dt0fU+n/VOOz/Ef9Sfe6lau/7AG/e2W/F+GSb
S1B/AQw5d3ig3lef+O8rR/n966yEw5nZudY/RyZsKQqcIhF5QEHhX4WucdWN33bLKzp7UNoMUALd
m9W9/zKzY3ec2EAa8wogA3eB4NbKsPGSj1W0Mq4pBnsa1K31wydUecIpLMtMyRmPvjOfRTRH5lfT
J7G60VJRDuvNiSBCb9xDEEx7gOAjeXV1GhLn/9GUbM6nmNac7rVZj33Jt24q/CuO4uEBmF/Biq8P
yDmN1iQEHdqQFUAqVPLPmT3Qtlok/xYZ0NluTTEd2eqsAaIlaFwYySBciXh2IdkVARQRfC+XwEjj
dtPnvl9wyWXldypdEuv/RUGnB9IJXE6rxfwrLqLhq+sP4d/6bKdfuU4Y1xny4TyRxYHEf2ZzRY1Z
ExRAEKtqct+2odh4XQZb/gl7wJihlcVnog/xvPre+pyIZFdXIxUP9kkdsFUcdYhOp7pppvMuu6U+
Ja4Bv1mt9fGwT61xzq3czVdEJKlKA3Hov6S6Dx1JL70f5oXxoqvWYVsmJx3dfi6O3FiVH+PeXG9q
8b/2nYUrdnqO4XPk8LCnaI2bB6/xnH/e2u0/NgHL6+xPS0i6cdu8VgEpGaw0tsvtGpaUSAFAOLK1
cW9v1y0m3COfIJ3+M5MjvvqFEPVL5Pjxsx40sSzLYNvqsakniWzabf232y7zke1HotTpELJtcW62
653oiHWnQTimf2Uoiz8HCcrPK1f4U9hW+qPSAYSYjU/tbzTp+c50k0ut3/Odp2SwgCJulaAOhJJx
WduVC7YFRx4tobdVtf5IZtrwtDFK01Ud1aVNiIP6yfU6059Hpw6girkkGp235djWtJnqILpCuXQ/
Qq0AQ7OSLx7lHPC6e6xdRnkz0MPnhrX2OZWRiehKcRIAj1nEAfbaN6xwAE4Zbi2arzzvHo39yZs0
sqeWWl9FDZ91muhOA/RdvRVG9xLxkBWblI+AmKs3nBft6+6tzIFo/NYl9cdkctKCBIYw7cLYvKi2
DL63IWkfYOAs5a2phC9PSUwRc55NF+sMbi1UOKdwyxt3ilp9NiZJXrnThzrfgrq/g2ex6Zt5aMM/
w+aLB9MIG5zduKp+Q5qw621UzslLlRSHYfdRsWPAjCUosqOaplPsmkhdT67sm6yUo/wvnohpP+m+
aO+knQHM7+uoszlYwp7Io0OANeCbueoQPPfztlX2vSjNYe45LYLunHjKO3Uy1tAwsExQzo4lzV3B
L8+ncyTHO023/xoAavmpZhZ901pP5HSXghogBw/s/Gvrprtj3e9yhDO9Cs/zVo9RxhaNfor0AS+Y
r9DlA7B7mJG06zyS6+abrBpt2KdbLEIowpTtQSZa6dwE286vmbAEQRZkt0dRyvss/5aTKH45o1x+
S+z0f+CYHXdluzYm01Wb/I73bfiPSWD7NK9j99UE1r8Z+DXnDJWc9tewR01aBp5/gKx7Utz4/dLG
/LvrwRMlCr2fCsffvNSVxcQny5nBHMQLlpeWcA+afQ9XBKdnND3B+1Z7SpBv496Nhwj+bMcSPERh
M3+2tZK/faAXVbrIVn+pheSp1LTMP7OlG0L4IEHTQiRfl/gTSiZF8lol5b0NJjOnBx/iA6nRTs1q
lVnvx7WkSHHc1c2PAr4na12TCNODvuNDYM36iOtQ8nN7IyshGDeGKzAfBQjkbQa/HbJWSvNv62G6
KjqxPxTxJYE6BAakU9AdUZktgOzXE1XT0Wdysc07Nv3iyVvDfUs7+iObdeWlapvkNlz3IZmE6TaG
0ZCVPgv7t/F8zJ9EvcnX0CaSs1vY/nnodfw7KH33uElUqV5Hdhn/aizWD8RHDMe5DuvEpLBL/XcH
PIFOPW5glv/ryX1pt54roKiIzuSIDaNn0zvR79UfaeVwEcu3atu4OvbhYOsHHqppb7XT+HftQpNM
7esPa+6DtX6v44FoOnqGgoY0loQ5LVQt953tNfwU2U5byisefgmxt+WpmnbCjxo64qwtlXrsffoJ
5kBwMa/aqWjuZ0tQwlUBh/gmXlT0XXayv8W/ThXTbpQYro7NK7CraMqxIRd7ZmBXVXkcjBjoWwZi
xGWyN/8AB0n+3QHChGetB+8chBsVfa8bW2fePC8fzrQnTyE8W7z2PZEkqQq6FvwB+Y934BgHkASz
qn+WUJjHbNS91xLKulF7xQRH+an2y+7nmgj41t0++jbT0jX3EsB8wlWo65eYJN4o7UZdR2c/Xt0z
3/FoqdxYde68RXxgLmLdnaV3b8mDNljuW7bj9muFSvQaCRgPtyRHcjmCF9mqlLNIXCeVY7YrB4Z5
lM9BzJZ6UHLIQE6IbkFD2MdFt1NysqZSd0d/zAENWHD4aQI/4bHeQ261PipBMbbr3F/X0SSLk8V5
+B4UFzJKYpwp5ztU9zDDYBQl+8LD3aqi+62FGr+SrpVlFlKh/EVkOB6aaNdVTs/c/9DmEO2TQxSD
Ll+SkSFwbgZfEwFfrPX84fowvQgGXuUK/sorwzzuwQd9KQtBBRiR5i0QseZbcCjV6QwXX/lXF4gp
K871nPwNIXr1p2le7P6xF6v7M4ZseH1sTsWLY7f1fej25G+3Dm11jt2+fyM8Xf5eBwEsYfdF9+HU
3LqpQ8f9y4omIXgpTIazO4c8pUm47u1JLGsSn8xajPX1zKx7Sb1euva+bBNqFktb/DOUcDgy13gk
A/gMsNu8HlVsUuJKB3OK42ZQjDn87qcyBCcQn257kZq5Mh9aNpShXuT20alr+WHyYZv4p008RUvu
2MM8UDxP9LJHe0xZx0SvPrGdDwhjQhP6FMcWxuXf1l5GCoczTc9xI+L45BHXQ7GxTzBdbB30TKai
VTuZOAx0IaZz85gNcDn/eUfkEP3L91B710Gyj3+mYiXptIjWyc+YMdPWHJG/MukR4TDeLtITLTGd
vs90iHA9psTzWHVZb23wtDa7ut8csfe50TutUGmx7WWVmQmSr2Y97mfPo8aA4lv6tJZjNysEGtO/
NPPqOfzft+EHICXqtqOxTne2TH1lFvZ1+AwYQ46pOdaRiZvqoh/E0vlRCitm/Y+FeAPW3jmcMQ/5
mse8m0XFwGpMyqftIBgnZVCinKsNUPWeg2IrL3NomGM8Op58aItieUFU6ejtj6F3L8d3+1kbuXJM
s9/JH6+ppiHYudsrPI/kceyMNlfY9ZunpS9dLw/IiHjWCQGOZHprUt/7cPeQq1zgTNnsLJ4rzmvC
yOitq5oSTm1Tbm4GQLq2D0oqWrWAa7ADEbIG5jRaQXinaO3e3tVz7F7P46hBmqD/v1Y8VRo6cBtX
zCrkUHIY17xQNbsTAM6we9GIhkF5tZZ+bHPCicchD4pGl3C9OvBC4VqYT9m32rmq6FJvmKn6j0O0
h/8qP5Er51apoSrxAEVp0LbWOStbKpvPkK5f90B0InWhFy5kY8g2QoSpoy4buxGIzUE2lokBx/p2
Z8yLH1b92MlQC7J+T/aJan+PHxCJ5l8FFjkHIimjEPJsd8vUz9UIAfU+WZEdxYJ/1K25m1pXtl+i
qi1DSZmo1wKE6HjqIpEcmaA/eEpMQ+XEdhH0G8dZLHPmo1U3he+x1wudr+ciI5mhzyMq1zlb0fg6
vkk70AAYGcxZ0IzyZzK79NUuS5cvSD4uI4zJXSmE1hVCkIrRpI5Ij09rTcmbk8mtbjpVUWNspdim
fNsrAG/F4bTUezDLGtW17o2nC/E6W+k/4/21XRroImHC6vTzfOpQ+x7sEDAAq8pA//q/yAAILBm/
vXU2jwIE4RvExKk9JfPUfAe+4jodN2O/9kPMj/7RV9/TQIQHzYFfPI5HH3IEFYP3trWSzN6N6dN1
5A3e32LlyONX5RlDF7VrDnJu/hP1gsG8tRuJW0DZWlaSiXIhr60JTtxz8hEFbXmhVbVj5pfB8Y5J
WvzpUSa4yJLKLMD3XNE8kFiKnlTqafs5HnF1XEW+BX0wetH8PTtktlCth9+CIEcnoxmNf3je3jDp
nc3yS5iOyrrSq/PQNpeTxlRV8dxzfeps1+52hzjC9i1GZvhSRb244YMJrAyRZrr22bgH9S7/ZP/o
GRESbbhx38XRxmE1R6HzMsV9M90tReQZBKZuC/IyahlTEqMde9frJInKCkhYCXLt9sc/PqHLYUWp
qbKRceqbu1cMS9VKt8UODGOPkmiS4JpL0GWu3RXQPD3bDc/qkjRwTnrvuOfY83vaD8r7NIzF8K8Q
nQQrZqqJVnjzh5fGJMueoZfXyzmRPaEvnqnd55kSxMlCQMVPC+X/zHEQV4hPW0Xk4KX3nSmyS0MC
fNHBwVKcdawnbXV03Eg2Ar/joGlk2rmr7DIekuN9WxvxWrrNXCMFz/MnZD+mtRvUEpWuZhufQuJJ
/87cPI9Mmt0nMnsH72nCC18wsusU+I2LQmya3p1/F0z+nKvGP9anznGX7q4ItbXpxOsVnllGRP9r
xCX0+JI3fOqWhVrej+ukBje8iDrDYlt99UCMKGQ5z3j/ZqWQiUZVPXlsw66nWW/zqQS916QGHDmf
7wGDLZtBIz4rV6mJj7qkVhgg2n85CmH61C8cxdnRGJ7YeHCif9p3jhd5rNtyN8YhV87h7IubRVtg
PpmDRzJbMCFfhUTfVje1xB5/uebIxBzHwaf8G0rmdsTQeEXGWNe+N2ZzPw7Vxm66eQr86SiH7zDa
GTwT9EzgaoME/Httoy2Cu9Wh4QdlNN10i+Bv7uZtoqSVURtkk4qDf+geAWoHLoKLWNyxc9XLhTaL
4HjnL7MTxuI9h9qWKeRD7/6YO+dXK+TknQRwHNhWdRtf5sgQGzlzmf/mZMkNL2r3jy/DgsUHvxCU
FpqNtj9FbIeE4KC2RV/t5KffMvBx9nTgEfpJtdQDqfML4WRDDLDs6nC1/+EEff12+FP1Z2U2+0Gc
p1tdoVN3b1NTB98zfFsDRCpxmPmjzX3ByZYPJomnfT4FW+L+xTg+2tQrGkIAoFFIdeOodv/d23IO
bj2YqnOucYPwILPY+Y/30UxMDyd04nprD0o8nDfTKVSiGk/LXMu7hbQJ5CbTy+/C75gEuENc5NW8
h/s5qu1q0RkDR9AxDGIpH8qg6fidUQZEZnhej/OwAk3LIJWK294dQB0WLGR+q3HXgMAsRa0oliLI
DsbV/inoA9Nko9P6zoX6Co6UYKLgQ3gGRagvY0+fGxrYl0gJd8ySQIjjpp4r7xUSDMkAjltRG0QD
GS6DdpnOlJc6IC2LYnxse39sL5TH/qeYkce4pSF+pNYdo2dnCbfyvAvd/YlGqqMM3KXECAGKi/vM
a8dXPZngP3YumM9AFB2idNY9yxfvkiRD98E/Ds/eqxlYROorUHRcSUH0yBrDqPKYe9gitccTh5II
VtbrNtIhziUAl/aqaKeoufM4Ppg8V5N2T0CR6tdGQdZLvWAX9WkYAl8yzvMYK486tJl3rBXtg7Lq
zXfoHNKOPIuSPz7bPOw9C1W9NmgcKzfN90KIrsxRfNzbcO/goqGOhrehioVhoL+bnxUf5RscOZaM
TZPUQyYUZ1+2VV5F5HA/TOOZkVD5tFSXfI52D9034VTrb/Y9eP36tcCAcnSjWSCuxYvMSjFixZBF
7N0sDe/fJz4BDkgZ9Qhdns9hqyizeDl7b4YqWTNiINwEcyS5iQtNbB1OGjYQoNGrVpP7xm0QFSdp
aCJSqY7kDB9SNPfBsRdhGhvH1Gm5kUyUtT0D1ev4CIPvMZiq3yApwUFDGVxvBpeSKI/xQMEdVDD7
DukM9T3VWXi/j07UXwXgYWE5Bx2mGioHpjXw69w574C3MYCxJQ9PFQTDB3Q7fpHJr8vnjqbrt6En
uGCABwIOLMDXXyoux4NtShtFGYN/ZACk3vluHClTznAIF5W14DNX1mf9GaTgPvwVrQjqO+OFwTXb
1+vfcGuDE9DRdfrB6B7NS7MUeXAoTeG/ZOvq/w601e+W6eubHEOsE8VIok/mq5LqTU+U5nm9jfJR
Y/dQmYsGS47Sdhgkhw364eERQ07o5j5/Rs3AIbhWTMu5SXQ0Z42qF76KPeLR1/HYy7SvFvmWYD36
rFrXvDlTFF/Qw7357AmJdvOm2sQz9YTFoTLxw0dx90vKdX5TZnASaJTwMNmBwneCc0zOFC1HOdZE
HoW9pXezi05rAmAYNZAgz5hrjMA/u6uRnyDz5C/fidZnCXyWeW68LX89p+ypR2iCxrxA1rzp+AUp
6YrVv6spScOsrbdlwLNCbjVhnz7BtNuIyYJXvxuvuAurr0juATS+5rA+OU9THeZSBFGdF3yAbhYQ
nci7WvAcAP2FjHpPZGiDfj5i2AKS6CK2uHzBMp3BSt2DD481ipwa3wiYav9TZpuHvKFafuxbKs/T
sZUjshbybpcnzSbN2TTI2pMJuyk7IgUiFB+P05xgMRNTFE2x+TMqR33SELDHXXfCvnru4bC1Iqb9
VZZH8+Idm8vQyAUnS/C5P4wQfT2U6TbWw+Omi+lHJz3/19zT6T8zdvJlNuG8+nOwWfdRDkf3cwkV
JbZbNQ2esLrw36rgGNjAP2r/h0Dmrq6Hvpw+q224YNTpQVS6E+Omr1anVyLd1oT7Qhxrg5yEmPga
hphamoqYy3Sfev29HUXxJ6QFha5Z+7yfPkUC1QQaV3Iawr3W2bTY8perXcxEI4rOhapRIVcEw87n
XHfET6fr6rnPxt/NcwecbGR0KZtPHHU0IYfe/jN+xIVeLZeneFlkPVzbUfXvA4IwD3TSQu4UDAYc
UOuwYFOGToyiACZWD5Ue+yibpTdzD+/8ofNUybUC71ExHG8dcbTXEjTzyNqc0c/lUmCxaIiq8FMp
9+rAj7aKd3rz9tEPGHXzyTficZx1+USgDeG5hdvLG8/VzIDni0WJFy4ICIhUwxrnEUO1N4aK44dT
7l5wAs/MXHaba/cHnsk+zCJIKZaMiSlElW7c6Mg4ZzFvUHr1z8cKIiYXk88XXmmk5JxXwN2zEsfe
u6j80eSA4J3rXSC/c4aX5jMeg+I1oIrhcwrF+uX6FpWfBM8azIwbHDTqYq/e3KIOilsiWfdHkLhx
e+ZV4GDDmsddOQRA91Bgt6mkcvdn5k3dGHJVHMN8LyRnSxpB11S5buVkUxEexSNritvL5sX6a5Na
ztdQt6u7vkWKp3IbCmRJGYCG1TvHXzSX14PPhj2z2Hq4cvYJZ4+RYrzjV12wNkReVWUHK1ffNc8P
/wIZ7ufF6cJ/o6za8CTmrf+8HA90aWgeZHlTSdxEhemINUQv/Zji3e04hfyy54YSMeMZZhQ/2pno
QOwxYfHDRi1EP8sgDi9CZYctT4qhHCmJZH1rg54J9lgEyC+Bwf1xnsShfqhk4PLspm73eHxm/1YF
aE5k3jhwr3cdqhdHm+bvPtjoTxXtO4bMynd+L3aiKQpaUnekqXDblJ7DjmG5OgVlebj5v3kKm3vt
en9NsbTgSvuRai+CFZpGNvZIhOxb57rxRvxMAIGjmQO7mapTE1Oyp5ugE00b5DrMRsnu3WDKqeIT
SXewmcJe+J89ZjhOK59ruOk357paJl4JBv/J0+KN/tPIBLrPi93fP+Dhoh55nty/vB7cUNqoJrzb
FrxfaZ8M9dsFUEuxj+fiwTPLzhOOubI6rRj7ZrKhRkk3HylUjHB2nVu+uBmvhjLiVSWmxMh2MSAO
AcShq23aag7cov+YWSJ93/1l+NE7tfGvG+ip514YLa84XCeVRXrQlcQ1wUgQHBDzhHa7VT36p3tR
EvHUxWnERul2bZKgQ2/o6nDhBPIY9gJKYa2SrHzk7c1XvE98CcWMj0kHIcLHFj+ovYZotviMxx/g
/jE96I0KI9gyM/5cxhJMK7g3Kn3axqj1z5CCGGk3qz+/D423f+89dxCJXCjOeaOP6WeUuKK9x+hb
3zWcFl0W7ZeuCo2ZHwK7TF2mEbXXOzmk4o6tRWTsyO7Np6zk/o3Gx786K4jkOXOrNn6cZcdAGMKh
pR8g/xbVtY+D+XeYeGNwVwVD/QvTgdYUXNu4Ypmp4QRDTnE6lc0jDqzrkpHacs867fKwLaVas5hx
l72GkDjW1SNaq/FecVjYLwqvDT+8iWSxvOlSRctyglNuohuBlP9Jyvf+bkrfrFdo8vGQJ3TFeCyA
2VIwbwPD7TKy4iMhEo3YrjhMflSrSircYFVMcT0MPxdkfIxVTu18CewRPTh3FUAkp+jGGkVr2uVy
wSOE0n15AWBfE1bo9fE2ZTF3SkiFHeE0Q+lLXvUwxc929XcHsdLya7KhPF3htN0f7LZYxm+WkyFH
GFlfSkzTK/qQqyZmmrF6qwdkqnwdhpnUH1yAFJmqO5gVLwFHzuwqmv4YY4iLZUxrjS9FVAqJQfDY
oN8S46hGGxXXE7PlmpAiCtxscDwkQyS4PjwTOzaSzUSUWnxmcq+4m3wPaU5iIyczbra0y/28eYhW
wFp/Ujzu26kiQfWWMBmXCYvTC0FzvPD47sbZ/HxquqNIwZuLEh2Rgc8NqeA00xhOIrxdtnE/A+Up
9od7YjRJW92UyTt/k/9VtucMhD4MiVv4HTPapMEDnK4c1i9zO7W/MCb644mu3rxtZdVVN4LCG22j
Hv3nqPRI2DLuyBOpw167qIau+7BT3IBy3+KfxAUnmI+gFRWnNrELnbHv6R9zXHt/qsGLgrxpjHNj
g3IYH+dkmJ/3ow8cvBsxDvbhUtp3ha9gKjsrrjAqcsHmdR8uv/uqpc9tiAXlkMfEWeRMxuUzxwEa
kuYKd09+3wqB+U2sTxxTdsv8RuFxHBsSjfbp//eA1MmWDs6gHzga0YnxERXvnlrb64NkVZNjeEAe
xOYzfUBa10s+YXibbuGmOP9K08f+lSOY8WWMCVyuEieEIMnhImJw9j7tJ+nn+r+u9JadglqVb2Ts
bs9HNW/cMGNYfk4Q7P+VETa7s5oT9ZVwSc+nkBcLJWJq4okImibCF3pQcmY88YjdshK8N01RUPjR
equ/zOj7z2EEPQ5HWiVvqLjMaPZFHw/DsCefZL/g5kExDiZUANtgWfZF/F/bdParprfit3JbPG1r
F20ya+om0Bc5L9gyp47aPzXZroB7XMu6vWRSh+pZX3Y6li3BLNoPtsN84jh8+SWy3e2yH55Oncjb
A94DKSpcRk05n+IxwXbN3QJSKS6lLTME2ekH5DHnyCMndO6Dsgc2ULt7O1xRP6rf08CpTBGH9Wj1
Ro5+DI/dX+ymzZPXRyDXZe114oQjvHjSnE9VRpnv0qbVw/rTwyv+a0S7eQ1CdATJ7XjfDa3/0rS+
7J+nZl+J2knq7bj24s38XKplIQbVzj4xQGOri6tj8JuXdfQXJk/7ETJ8dizTRmoXQlOtF6v4RJck
wlMtB9pFs0zhnHuat+ZU6tpwPib73N/00ngrCc67jBNmqwHnQ+Br/nMV1t3fsbajyMhaG0g0aNyj
+YoHjBNXRVVvxcNGj4OhKyq2F4Nv7lvSGvBVu84OXqlk1l7ICjvZgQMGe4N22q99NsVrQaX/H6FQ
lzHrYXbJQUANeGIVx/9gHwSnR0dc1cdUGy7yWbvJ1dTuCpWVDaHu2uDvfKFXGQEbN96CfT5gOWh3
7eRmS6so7JTntS0OE4YkeVGwJkMdGUVPzKapNgO2Au6aGftdXoOYjBEPVq4nzDX+m3dM9ZeJcfZm
bRtR5RK9ME/Z5MTFU99IfEZU/hS5yK6VOg9+F/4UnYeRZy2i4mkRrrbZFBfrnpJmiptpjJzhVUX1
8SdeQ/dniKDlnNzCOiKvkgRxAjZUWWdq7ihNW+H3z26s4xfojcOHI5YAw9IwlF7Gecj4EDpcf094
tOjznefgkzx5DJ/YcbubucMrdnLJfdcZP4/zWlR4nqzdBzwiDFD/W1RdfnhM03DUTqarUWJ5xFLP
78SBU3C7+C4xuGEOwAL/u+iPSuYXwD0yfBSPVzjs+ZM+3rqBew/1jeIYS366+uSkncpZRz90EwjD
Ud26AbO/pnmfR1W/JoVKnpANmbjsRWHFZcBlhjQOBastppaU+wcn2ydFA62Gh8sy1QPLDimLVcVX
WDGqOC/J1Mj8wAuR4PPSx620YUfWhXO5YRpnauuT3CrGsi2ODv/kdnH0eOk7Aw6V1d4sw1LOWbFu
zPbIb/Lul83KX6XiFEsJuKwhENGWnON5pJwhvHn+t5PZcF9PnfbybXbQy+uYrQI+aR7ILNBT2aab
PcR7kHh8x+YgEj2urfvqm4iolgnfpcdojBIt3dXgsXij+uRZq8IGKc16RdFQuC4vhOOJX3vt219F
va0uhvDLnJkwuPVTNos/ZXZnDpNZCBTFJVfwQHBjZvTUHWMpsM/SVqeHH7kPrIvNP+KkxHAcuR2V
fSkjDSwqGXfDSY887y0HUq81ai/OGEVled26S/Is+ooUjSRBsb/ztx01Azl8yQuO/YUVC+76G6+R
iUgXDUtZ97OgF9XI7iea1b5hDbEZhmfvcLEF4BlbWKIpHPQuduTW02SqY8xnx7gyi62LqGicdf3c
/F3sp32d3eacVIninaqSkEoLA6rFPleWTe4yEqz/MyWDmdNqhbtl3aCZQpj4UFguksmrb8kfS7qH
favjp6BW7ZT7m21Z0xrw2D2y8oOovbKnwIcx+d1/rurd5XxUtjD5YRhZncuKwjh3+RTn3HKIU1s0
qFR8sO0oXKZCXvFSTxG1xAT6QmD03ChCDt7V7xZG1pbV7H28DPog4WUCA/AAEEG/45mV/2PuzLYb
R5I0/Sp16h7Z2Jc+3XWBjYtEUVtEKnSDEysIEDtALHz6+aCo6RZBNlHKvphRVFZICpIGdzc3Nzf7
7TeSkHmtb0qNvLOjHIcCaLFZxHAxqoEE8hbLZQskUu6kQALy0hNJBYnXAct2E+qHfuRBMXzKEyne
qqDSxREwSOyYaKzBRTQvfplBy+WPuC6xQqKHeFyxRsKmMRLxFY+vaxyuKBkuaFuZW6lQSmkRqObx
NRQ6cQNvRyveUEym/OggPxyDMwnwTHoJhSsCw7sj+VEx21JcoEhg+JXDjjQ7DQ4cQEDsKKOPxYcd
TQ/2Tq6KLFgritrzoa5IK5cHnfTuXqyt1SCETbfoWO+nIyd4v1SJZqxioicPjdISQ5JMgpwAIjgl
c9And3gHHBeJWOetfawJYizMqKwIYMlUEzwRk0xwQfJWBi+V7c0HPc0Bw3LchNsyAUlst8zynyDU
2+140QOKIybUgwlCXt9TJxl83xdEkJ1W6blhqL2ZABOhpcoXazewmcNiNxjgsxLCFWkMsa4HG576
PSHYBjOsXOyed2rWcPMVrfILPEN6QpAtS76HUlmBggj2hJQgPkwKMOlZ8SzlIAAwsuAvVA3OYzuq
aUrusouHV2vQjy1+vAIWpCNUq4HCwW0EJ60mj2pELYNDFkr/ppmV8cAZVCt+HoTkuVHdyhObsMLF
rwqlcEbrPPhyTHDHi/uGMLZmHgFG7sx0O2JQB3fXl/0GzyWr9WVIRnvwdqpklgspL4VN3XJqLvd5
rqxMYiKybUIwzxU+7wtpW1MM+KMKxONWp1q0sTuAFYdlcyT+dk/tWQC3qWDkzM1O1XKPLl6NcXts
9KT4zL1A+CxYBEZJAxUi+Hw9xsttukL6kmRHVcQH5Hr03QrjVrC5foFRDCSKphZFCWr8T4OuoRYp
FyvTMBIKoTFwtiFBeABA0fAJdGlLvw2L0iVfKajlsfPDQC/a6+QGI+/De3IDmgdA/Qn5nwjJGVHI
SXF3Ig2aVQL8ISGsyq/CIQ/sw748LIx9198LQgLZqxCELF1zcJP9QVpcFz8t+B7F65A9QjwOjS1Z
sNNaa2pYqwbYSmpTesV1KAHKfFiKoAQVqjuLLTkKyz5qanhT9Qmw4OvCp13FaDCHdFkUyToquqXL
E5oW+oTpGqm7zN4HHLleJQVspJS2gN6eW0UErIkoWkhlNvnziBsVNaLePgNtghNDwLvUm5eZJ5rW
nk+faFLRD+A5KKuU5QhzFTtMCtONQ0t2cJU+l7jCGB5y4RXVaF7SdBr8XuawyDIiAHIXAg0fCDmA
J7FmZmpKnPD2WDQxHFlvJeWMWazssdAHlStxloaEW6mdCwF2JEQj93Wu5+71WZhyQ4zSRoYPY2Q3
BRMzoUkpOjWjzTtIEODA5jc1MhTgcZRL4Rb2Wv+NRr/yDB3WJTWEck/StVEHJW1CfQFAss73NXl4
ygHlex2YCW6uBBa3EfsV6DlrUWTUbueK/rH2D2OLQ6hvaXSLBiJfmmigmVOBCP6FdB9EeJRcEf6N
ik+pylmwIhJEavv61J4P9FTeRL8GXaAwpSgoPMzEjhttN2wG5N6Ax1DAipeNW5pl+WhpSehfl3yu
2Uimd6kGqbFBP6rxyd5RPtWDlkuRimbTIUlch2BbOXiL/INcLW/zSZNA1IaKDII4p1IQHSlWyY5W
OqlZayP0zUylNUn57skAbz2jN+f7AvZtzAfZYxKCrOapOFO1AisV0NSq4TRrCA07RBz/pLhGWl6f
vvM9oUKSaNCNnHQP/L7j9L6bPkq5qqqPOBuCUi5XeDDUYlE+HDkAPKlKrgjnzrRdvyhRUXGBYLtW
4KI7lShxwy7TA3u+2And92Ag0GU18RhJrHb7e9gazQ8SnI1rR+sEk0IIEyK1Kbt4R0cIlcwt1rg6
cF+xjkVduIVRt9lfUEVaEMEJL6kqqzYZWQSYHI+CuTyWRgnWubHAHPXljJRL8wdduQR4amwuOuUt
7AxwuvsdUhoQAjqlhdZxGe/kyuuJsZLBJxZ2XUUuKaMlWqAHcMuwZpMdpueVFg7mqCJSaz10GcQg
Th+GhuAdEpyaGUsysqCcOg7AqhVDZBZVWCOmbUpy65DgA1N5XElh+jUioQc+dA905VjcmnU2tiQW
mvbz9SFeMF8cDJIytu3mHJLlU508BuZR0QCJ2nAKUNEpGcGiHoi3Kmnsl0lgEoVQ1IWqAHicGe6F
1YQElmwzvQwwLurEUWnlKN+ZJTu9Dg7mF5nC65izWGqXNCs7+CH10d71oV6wl6NDRmsWReJImpqW
urMaMHYJuSzgoa4Gs6V/EJS5ruQXVtGQdXabBEEi1M+TYUFXE8bZuOcCeS/1oN73dbxQ6loSfSkT
QSNHsThsJfC/uxmDdlEyBwElbDQLhC/9dCkDcP99QzcwOzYP3KMphgncoGZvECSppW/YdsCuHaWc
wYzgC9sEeSLeBWTX4NvGB3tnSStK3g0qTJnYfdGv60xsPZhghQeLCMqMRbswRroCKjQwYauM7cJP
RZWJKB87LaU6n9o/V6iAlvVaReFtRALpoQCm/LKXrDm+4gsDtEZuePoHaURQxMmaUjB9sKyWTRJJ
EOiIFXAkSluCRShSpfBhJbXAfFh02aDtDSSYpwOMKTonnsQAg0RWXasBx9SV2lwfj/OtMHZcEGmy
qlkEE6cUrGJr0sWjpA+MAIHAdt/twfPt4nbGFbsgBfdE4g/WEwr9ifk8UK+SZppFMtoAI1pImQZa
Z6d/eFvjRbPlZLoSyaKsTbSvF3dtj/sOyALQSLqtINfJ3bwSmrn9dWE4GGYJNnuRQw5NOF0aMkpq
mBE/tY8dzKRRKlcOgMUZxuFzq/jWUhS+LFrE4/5MRiPjsHR9RpCT4e7XGM9o8KIa/EfRU/XvUWFd
DF8+qnKQ8dKsEYi6NrZWmdiNCFg38QM8ZkUpuLLtzMIvhr53r0u5MDDDxC6qIocbPcLH2X1nJDr4
W8NqX3IVt0pShsnOuKWZTO2bxmHnFH0415znsjyuADQyxb+btthrZfFgGMR1gCAINfk/2omSXQ1C
Km1iMc4fDn2lfL8+xAsKwhBpY8YpA+f/2dU7FSOqVpjIYZdFVO7mZBfy5vhxfYeTh8CYpoxW15rQ
b1u1To07RQf2IRGDe7On4KmO98NM98pzv4BQlMZRQudM2gtYk70b6DvopuIgtRVa24HUhpWFqpnu
Cci+tbA6kxrcfdiTwqubdHF9Gi+sHO4WzdM0ehVKxFJONaWNxKgsaVhi57oavlACpL1QmqfWfpJD
22HreyBF/nWR58cKjSmYyjGTw+k5PbR3nZxZHV207UDJjgsNVNZrIpCRvBVkruf3ARW8kp2XO+K5
1wVfUBkTGmyTDWiy/6bddul7iQObN9Rfw1Z1F2tqatdF0X3Yj2V4FrTwMgVXUH5Pzq+86KnlNwF+
WYmZLahrDCB5EzKDrZAkqTajoJdUh6OZaOA4o4DmTtfvoNASC5wq91KzjxZwe4GtSyIBVvrAiDdZ
FQ4bjaDdQsG5fv74dBpMI91GTNRHG1XrnZExImLXoa6B/gfMdC/B+eTlg/TB9u5YZeykzJ0YH1Lj
qjrxmeF8KhQY50Em63vDrgEsvCp9phHeV8sldSL18i+Miqs0Xam49mCqT0d1hE4lp0QQ7VTzInKp
ci90YF6QZM1o46WdR59VkIfaeBExJ3d9mKmAhcLQAINLQA0BnYFJmNS51SfLfaqJ9eORyp+5SNgF
oWOTFO49TCZH+ORgOMrAlIsjdTYDHdvIUVHCNYCDz+G1CdPUvT6V554cysENVeOeyqmgTGxL2u2p
soVWh5KohuIiJzr2ZfJC7ZdR9lSID508d6uTRrfg9FqHJydyszKZV7yHyer1qbULdVITtsW2S72o
bcRN18MgZkVNtgxMUkdSVNaLHchIegAKpKfscDBICKZw5M2EVy7YGwviE0y6omPbp+7lrgOZSXeo
HGxNFXo00gXCF8IUf32WL4/5nZhxGd7tw1hvklYM6H4THI+9bleHkVyLVpGq5qSK1Wy1dCesxI78
mpmUsVskpKKFdjDpyhOLM32qLukXK/67sQKWYbJbc8jkAkNlyCHYcUcFrfpTqco9kDAxXLc1d7Tr
g780xQS/OUs4OcembqdjV/UjvSmgZbQNTSnhXaOCyBjSbmZUlxTZoJG4BDm+wlpOLB3IYDXpD9wT
oNArvwRxSB6xlMOvNN6ecwUuDog7F40xTbC94mQC25i6y6OEw1HRRNwNKhCBJGp2Mw7HRSkUlWB4
iH1gv0+njbqmoJBpm0qb4DAyfWiK1IPLTYsK6Ovrc2nmTM5B1ojuBcrUja9w7k2KWhEkNKIvgEx3
jbw1Hgoqhp/+iiiaJVijY00P8NMxpXVfN5bAIhV9U2zNoNmR4TSB8YIm6uJPf0EY3a4IweFiS9Nb
OHQ2O/pt4PC2JGD8w6Gh8SUIcbdtktS/LurSWuGicQDKmFCapp6OCwyTqtcpoRtF0dIHqCzMO91s
zRlbNX7K1HBajGMMD3FCTFsTZUmrD9ERvctqcJP2AazoCuPYfd4RofKLA9U+14d1STMI9gFRBK1E
Dmty/CkNReOpTuoMPq3MiY+Ux1UxTcLw63czi3U+NqIl9LQzOPiIZEzH1qmSldRgqsdq6mqxC8qH
3KzWQOX0pVhF7czALkgz4V2mpyU9X0a42WS9DopAt3HS61on6OswtYRnWjtRuiMdjvdQ9AUz/ua5
fhBZl2icgx8hU+k62cuRqAPYF3KK2smxfymk40DMTe4ery/XRSl0OWQbE8og53k6KkFo9f4IOxOI
NhhY1Tas7oBw7j+shW9BWRItXA4IOk90nXA91VEmuPqsHdp7SQpGyARVv2s17fQ/5TJIfn14WKgg
QSaZLq9keCbDUvSkisIdVwIYxnDWU/lHlBkf7FGNC8t9QMUsYdA5PKYupSxANpEdW653uQKLbg13
DNFlNXOAYlCgJrJmM/N4vlrYdY32m9wpcTGnCcGyLajAaS3wfEl5uDWOcbARD53Sfdi6U1IhGnQu
N7DusjkJ0pgpeB8AIHuYMZrcS/fpz+MINav0eK4N1tmA6LrDDdwQuSLLdC+fbCqYfivhIFKIKJVD
9CXNhcLbN7sPx+eRwtUUd8KyyN5OtxJAUNDeBnTDFWW4pb3PTKhwuqHbK5v2UADbi2sLEB118mx+
mC7L2TzZpXGOZoMbORaEjOPpNku46YwFv6CXqgSsTFQpu1s10tKPnv8cJ2OPLQ5mTmZM46kYcQAj
oY5hPMrCTNdSup8ZIOOZm9Toa58cKUQ8uUVZYy7cGv93KqSKsrpqav31QI1wkQsPerRMRcPPJdmm
Sz0ODkVfZRvP6ORZdGGUSrERYV11JAyamEOwhLD19vprf1hbO/M2bT05D5xEj93j8eW68ZiKInYs
kn3QGJxhUQE9MR4RvBJHoKFUBet9eAfbSeAcurS9EeBb90SdOjUiezvvutCphrwJJcdPTlPGxZiG
9mJYh7Qu73c2/B37B+oDEu9oDqZ7Xcr0dP4txcTnpZUnju9kv5GEDqEDZmg7ypw6QCXCGIqFRcmh
rnwOMHFBGC2oNOrQyHjTImNi9as8p02ZNqIRdwGyusJ85EDjxOyb4IOKz7hORE0UX9ODwDiWiKI2
saOIIQ0WkKt81GUbpRD5kSDD51AmynWq+YeDtAN5DzsjRkZbdGSNSbYdDf/6Gp1rAtlZqiCwU0Sb
iI+cSqHi4BhrOsWJQVQU3GLrHQyLyUctL5mfEymTXcyFBE6AnssjhKCBDW/WF3Evfbk+knMFIBwB
NStda8dskzFZlT4RGjk8QqWW163+Q+rhc0go0B15JQx9xj68qe57s8SdB2GECMiWkF+adqjr4EhQ
h5YsFll0WGTwGQWKtY36thLS8g7wbe43+uGwhPxVdvoollew5CYztvFs7bgj04lcAr1ljjWckxGn
JQzr6c54sSIqAEpoFp1e3895UxeFgPBgTsnY6OJUCLQv0AiHX/ZDmVqeUiraOqNXnbX40OqNiBiV
ixApFATR/2RiKw5J0ls7ve9smuHtQC4X5id4UyghVePd03VRkxH9FoWXS6tWcti0MzxVeSUwon2G
c2vrKcXfNQN0D4kgzRkJ8VQOCV2SW0ybqrBAnJLT5AK/kgRpJz3crLb+dun6vm37Nxvfd11/4/Dz
xuX/Xdexl3znbm78lb3iNZsNP65dl39bumv+zVvzLa/2V6utu+RfN7x5xUsdZ8Wn+Qubj+Tjx5f4
Oe9fPfvb1YpPs/k42xv/2V/5zisv4RFsZ/wN3/ODZ9vO0lkil9fyifeLLR9/47p81Cu/WXm25/GJ
L+7GXq2e7ZXn8B7P8xzPcZzxZR7v5/PGD3Nu+WbDSHiix1H8YumsP3vr8aXeemV7zp3j8j2jXi5y
Bu/wdL63vHUcf7Xxxwfl2Ra889H5yqcueen67mm5fBqniYka3+1uNqk9in1y+PV1xXgLXP73rj5b
sWmiJo2rWgW29LDxt68r/5lBec5XZ7l2nmYkvQV7rkmaGPemrhK5QTd89+Hl2za0t7b35c4R7Rk5
yrhtrsmZeBd1WRfULyOHJXpZPT6yzg7zzZIsbzbujePMZPsnccTzKZzcyAOpKWOY1B827usz2sI6
XV8jEC4zQxq33btIJfhs6o9gR9o83Pg3o0L7m7c//L199dkbW3R187rxXzfb0mbjbF5fWUv7doFi
rR4Xq8Vi4S0Wt/YdGrZ2bpao85fb2zd1vLWduyXrzc5jW7jOw41jsz+99YNzc4P2rZczJnxWEcZT
7d1oVLFtCeBLD+6L+8y+YcbmtPrN3b+mAxN7B9UORYyIuPFft6HHtmS7b8cNz7Q98rWyF3w37urQ
ZoTrX0u4PO1f7nK5/NXZD09zKvKWEb/2QNMjpTGVOB2Vcrt63vrOr+Uqsv2FP076xsfGuU+b0Uyy
MCyEZ2MDnfFHd+s/u8+rx437kmPbFvbLzTefD2Ao24W9eL5vmT4XK/K4WqB33ho9L2zv7mtsr59Y
ateVbfcBhXi17E/eHZbEd+2l6z1gh9ab0cBcV9W3C/K1cU58q30u9IqEpmKwN/YLNre1ee4vC99+
/G2ZGR5G9MZxb3wewsPuXn8C5c0PufYIE8frCLXh0I1T/YJ53zALm9GubZ7crevcrFZY6+UruwVj
jcXnlFh4Xol59X3mnKNnOZ4C7guL47+6q+0Wg43ebB9D2/4TLfJZE04Jb80ufMFqr+03W7ZarLar
x5+r0P75OH7ot+fta2Q/H+1vob3C2GGHto/8+PMn2ojNXzp3T9hY/n5YPnlPy18OJn/5ZD9zivS2
HdoLtuqft3d3f96tl96n1Xr54+mBk8J54DhwPO/Jtb/echAtH27cJ7ao7a3Xt9js9ZKpd5nVt2lm
5L+Ybg5XJHK2LDecy5sbZ+ndsdXfXvj5iV+PRuHJvXl4eUERnR8zK3LdeuG5ne532irlgsERwyl5
w3/o7mLjcuSx9W3HXf8+5JwZPaBV3VWjSTO7U7H71jDaHLHIZDo2W/Y/W22UOp7epc0usr+NZz3m
kn2xsnkh1sF/HE9lFpqF57tH3rCy73AIfL4b37taLe74e/nEpLlr5+HNsWFa/fHUZEfdsXNXb+7C
cr1mQ46q7o86uPVHc7qzl6gQ04+19l3s8c24jO7yZYOn4y63Lu+5vgDj6fDfG0J/c/5A5Lz5mHQm
nwJEj3kOu2e2owB6J0OMC1HNrSIe53BU06qK32IAfYw9kckiaJNlhs6wBdYkUN3YatUy7svhFnLf
w512CLXFjjwGBfe9Bj8GZfXdnt528NccwpUGnZ6Dpz13/5rcjd4eRwehMd6MiFOepYnNTIbZGAav
fOgTu1b3yU0Py5QfQTmwuT7Bb3D96QxTvSDjz4OpJGR5qmqqmtKRY8C93sXV84GaaxhNlcUx2C/p
JLHU8ur1EHWvB4muhmrwlGmHlx5g4EAwrmz2K9oFzaWPRjM7eSDiKyZxFkumumEK4qbyFbIUk85F
olRZys8UWv79OqsBn91DaZ7t/X10TOVHqHqj78eIJiEzIPILk6/ruiKCIAfHCify6YQE1VE+wMre
2iD2aa2g57lLWVfhlrs4mdnoF7T7RNTEmyilQd4No9rtGl1Y7VGIW2KEhxkf7LIUi6sTBQZjiOJ0
QBVsI0GWsIcOx3Dny1Yv+IUMBeh1RboohWi3BDILbIg+0SOL5lcJjLjoUR7Hr5DV1HdCK+iP16Vc
Ug4QuGwJ0lZA6ibOETjYsGhTyG72kRQv2hR3mUJdKfRCNWxuxQKyLflQFGuljdtPHxdtyigEOG75
fKPAeJNJXQrjg0LOdNNLWveVdlXCCgYe7T6F7BdGW12/50o+V7JxPrXUMxIGB0VOjBOTcLqAQgfi
RqhiaNVMtdzE+yxf7qx6DgRzPrUmwCyWTjRF4u5TGMVOLFtdLNLBhi3hUdS1r61qPgdHfd1CrAeV
frM01GrGuRxdx9O9TqJYhsSJ7LdM5dTEtaQsvCMbkg0QgsAh9WIV9GtZFpIS6Q7M/8UOKu06BBsD
c3r8+fpynp7s48liSoQTgJmCigHpPBENppka/z2iTZ06OaUPYi8vdqVHC0pqUJtqLiF0aagqOBUK
pgDTEs44XcRBOgZqKENTWHewUMl9Gv+ZhGHgU/4WwzlhFEtaRFjL64M8t2UjSgvkONU+aM4UxLA7
Uql+HGmv4ZkUnL2YC+5erS2/gPbU/QuiSKXAzQHFNCf26fjgzz2agQb3H4TOncwBIu5FL7CiLPWl
+CjpMyM72xO0Qgbjqquo7AihnJzYQg+ljalRGKv1UKoJFbSjxV6fi6adKclYQIiIEZmhqQT8Twdl
Bdygj1CDwl+cmrWHbx5nbqLvtB+U7JtQ1Bax6n9wHicip/OYwMtg0mjKgYGjcCV1/zM2pMZNy6T9
qG/1Vh0J8hTvCjihPjkXdsdhJ8JUGTnhUB5WUMilDiXb2YxenC0UsXBSyBb4M45UWuqcTiFk721s
lJDHWPta88pde4RIUz8urs/adHfhu7Cr2FdouWxCEH8qhYJ5iVacAJAPQSA+9lZLL8vwsBoUo7Xp
C9k/tvkwEzE8E8mMEU8eq+nGYrppKD6RDKVXaupbo7qS3J62Mppj5Y1wL0F4ubXMZqQRHhrv+kDH
5X9vMclVEp6kyOZtTxOTPB1o0neHVtzTn7PxI/vgdF6+UDayO5dxmgSGdIzGqZzJmYO3eNDLBDmF
+/o5c2mJZv9Y33+9Ppi3MPG10Sino+n1egchA1LkBThPmxZrnnQH+55LWzpH80BE2TeVvaarkT38
eV32NCdwNsJRcd+FcshqJGo1djoVlqrTOdQm2t+NjbH+6Lk6ncmJk9cnGTRdGXLUh2BRwnb0mTqz
dTCjF9PTeyplcrzAkhQnwjiao0/LNgc+Zydzipm9fHZPmkoZ98S7OVOiSlLjcb02pfdt7zz/1BZf
Pz8pM66kNC77NbWYmF3qy5JBihBTelQDOdBC2Z/hQN8eHeMTtOqrGU0YdfmauInJtWgkjvlAXOd8
g4vf/p7Z61/O0+cZMRcMxvutO82ZpHVWGzC0j6OCmNQhh+fQytExXd39uvhSu5+gcJxbsBlzMa1L
J3RXWLtRZutysWODRd6fR/v7p7udfV+7X7kT2Ds7njlY5tZvWvOowJ0mJ+P6Dc63oy8uaFTq1f7u
LloFdrI4zKnLadT8zFbJEyuyV6G2gPVhHOTOSfmj2hCxE56f0/+pOzVR/ymSWhXoELkDUGaPhYZ2
G1ChmleHdbs35sY0pysTo2EacW1m40YztZdDsIxoYVHI9KDN9jDEzeEAJ2HH8wmcGI/YFGQNHtjf
E5hsaZ/lGj6teZ1PkRu5RJUHDLFo/5ob5SScfi54Yk+6MKXFU4lg5Ule15/zu3KtfAvuyQLTDaX4
Ojxn62ir3GvP/8utODEwYdNHej5qjILOQIiFfrZLvDwnsA2n8DIvdE3HdPQZI30WbJkq0MTSDHK2
T+pxY4AL86Ol5D6nDoHVwC6Y3tyX7dlz/JIBAKdFOcVIYkB53anFrvdmmomjypYeLTDZH4pr4Tmo
jnWTOnRWfqjvaTSyqBbqrbWameVLdvW97MksQ/M3JOBW8FXcztM/J/7O7/zB3fv1Sl7Oxcwu7Rhg
HmBJqHUAqzi5EMT0D4mHqqjtiqY8ogQpCqyh6vDzkFVufHy4PrSpIRgTZ9QxyQAjqb0ES3o6q3oT
ycEuUY+OoDSKD20lzS6kKqL17XCcMeHq5HBCFAU34C8pDTcN6EpPRSWmrPdyS0PTAPKgm9zKMsq0
lGTGhk5nb5SiAiziNjCSmEzjKqo00I+phoWygSxlCxe4sa7apHbEQU63cZGmn6gwl+4/PItEcLhW
4bSDTdNH/XnnTeTwV1V1QQtt+oAXHnT52FS1SR/oIpTM6eJowt6f8QyQOxyBG+ojNariJ/uAJonV
0TKEwTGyNrMcKMnqT3DyQm1Zabmyf06ktoGHPzWKzgZwUAs2lNXpfRIPwWetyZocXqe2bVdlqssP
gHxLWj9WUWHahUg7y+vzcuZ8A4UDsgQGAZS5pQApOp0Yld5mWWMY9BaX2pZWcEISDlhDWgns3L7W
AwpYdK3tY5/G8+3XCkDY97C2QtOVAG0d/bhQ9Dnioal/OT6Sgn6AOoKBn/aSp48kwJ0ZiVLRO3S+
2tP/QZFteoSlX8BjaBDJFq25HgqZYzdq+xmreb7ZFBaNqgHiwUTo3zLM79QEgn2hGyjadarGfC3B
1H5q4ITcQoQ+V7xzQdJY4KyDjiSqAMT6dJBhPXYituQjLMexDsKVEnQ3H2JI3IEP/by+yOf7mhAm
MS/YnCihFadIydAQ+zSHYdQxYCj0mqqn72YZztxRzy45LBtkFwqVMuD6OALGEb+bu5DkhBIfD60T
CLvA7mn0bsdpqNgoVLqODsfcM5Ig8WQxVjeALJOfWjpIMxbsfOvxDMChxyJy0P/TSNtwbLswL9ld
Ji02dC/MA+FJ3YuUalgNFIUrukrAsPfh2R3tGHXXILAlIvWn4061XarkSQD/UZ1DTDioez9NDWX5
cSnUnI3JAqCgEJicSgm7ltzUELew79FmHYJKmj/kg/jh+VNFhYFIRNZGeNJk6+0HZW804HWdqCuy
TaLWkhsJkAJ2kLq76aEP/I+OaoTSUuhCBgTNUSc6Iw9inRzlhrY9xyhcx7lwXAW0ypu5JJwbFFPW
oNJgUKTczmpBIGMhpTeYtWMIUeaKIrSECb1zlqKpCZ6Zah2E/X3drgKh/idS/t++9/8e/szvf5v9
+h//wc/fczg4RzT/5Md/bKLvFWv/q/mP8W3/9bLTN/1j2/6smkP182+br0X9N/+Q/fjaRHk2fc/J
RyDpn0/ifm2+nvzgZU3UDA+Hn9Xw+LM+JM31f/39zAxp/KD7PMqa5/zsI/6lF70N63/8oL/9fHuu
56H4+Z9///ojZb6juqmi783f//lPqx//+XegmiPb3L+dfdbbeK59RsKkNYcffDhsL3+gWcT6UYeE
csv/+3tN+oNkHxhahbqg8YsNi6R3E/k/jf/scS7M0fXXXHv03zPzNnyol34/1G81+681+cjwZeMP
DCDYX+Ljv79Op0E1/8CbhABl5B8Yv7jK/v81DRRlc5HABP3v9EDW/oAeBddPVC9PhPUHCGf4Ccai
yLev/0cT8T0/ZM24XUP2/fvtMBal/ytzMPmAd3tBEv+gioavUdlPNoPyB0gTvvAL3r4+sBn+hR3z
TwP1Pfn5tfrH/wEAAP//</cx:binary>
              </cx:geoCache>
            </cx:geography>
          </cx:layoutPr>
          <cx:valueColors>
            <cx:minColor>
              <a:schemeClr val="tx2">
                <a:lumMod val="20000"/>
                <a:lumOff val="80000"/>
              </a:schemeClr>
            </cx:min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4.png"/><Relationship Id="rId7" Type="http://schemas.openxmlformats.org/officeDocument/2006/relationships/chart" Target="../charts/chart3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microsoft.com/office/2014/relationships/chartEx" Target="../charts/chartEx2.xml"/><Relationship Id="rId4" Type="http://schemas.openxmlformats.org/officeDocument/2006/relationships/image" Target="../media/image5.sv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330200</xdr:colOff>
      <xdr:row>15</xdr:row>
      <xdr:rowOff>169334</xdr:rowOff>
    </xdr:from>
    <xdr:to>
      <xdr:col>23</xdr:col>
      <xdr:colOff>448733</xdr:colOff>
      <xdr:row>24</xdr:row>
      <xdr:rowOff>177800</xdr:rowOff>
    </xdr:to>
    <xdr:sp macro="" textlink="">
      <xdr:nvSpPr>
        <xdr:cNvPr id="46" name="Seta: para a Direita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939800" y="2963334"/>
          <a:ext cx="13529733" cy="1684866"/>
        </a:xfrm>
        <a:prstGeom prst="rightArrow">
          <a:avLst/>
        </a:prstGeom>
        <a:solidFill>
          <a:schemeClr val="tx1">
            <a:alpha val="1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210819</xdr:colOff>
      <xdr:row>6</xdr:row>
      <xdr:rowOff>167640</xdr:rowOff>
    </xdr:from>
    <xdr:to>
      <xdr:col>4</xdr:col>
      <xdr:colOff>84666</xdr:colOff>
      <xdr:row>13</xdr:row>
      <xdr:rowOff>4233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10819" y="1285240"/>
          <a:ext cx="2312247" cy="114046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Base</a:t>
          </a:r>
          <a:r>
            <a:rPr lang="en-US" sz="1100" baseline="0"/>
            <a:t> de Dados</a:t>
          </a:r>
          <a:br>
            <a:rPr lang="en-US" sz="1100" baseline="0"/>
          </a:br>
          <a:r>
            <a:rPr lang="en-US" sz="1100" baseline="0"/>
            <a:t>(Extraida de um Sistema)</a:t>
          </a:r>
          <a:endParaRPr lang="en-US" sz="1100"/>
        </a:p>
      </xdr:txBody>
    </xdr:sp>
    <xdr:clientData/>
  </xdr:twoCellAnchor>
  <xdr:twoCellAnchor>
    <xdr:from>
      <xdr:col>4</xdr:col>
      <xdr:colOff>358139</xdr:colOff>
      <xdr:row>10</xdr:row>
      <xdr:rowOff>114299</xdr:rowOff>
    </xdr:from>
    <xdr:to>
      <xdr:col>8</xdr:col>
      <xdr:colOff>516466</xdr:colOff>
      <xdr:row>20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796539" y="1976966"/>
          <a:ext cx="2596727" cy="1748367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Limpeza</a:t>
          </a:r>
          <a:r>
            <a:rPr lang="en-US" sz="1100" b="1" baseline="0"/>
            <a:t> e </a:t>
          </a:r>
          <a:r>
            <a:rPr lang="en-US" sz="1100" b="1"/>
            <a:t>Tratamento</a:t>
          </a:r>
        </a:p>
        <a:p>
          <a:pPr algn="ctr"/>
          <a:r>
            <a:rPr lang="en-US" sz="1100" b="0"/>
            <a:t>Transformar em Tabela</a:t>
          </a:r>
        </a:p>
        <a:p>
          <a:pPr algn="ctr"/>
          <a:r>
            <a:rPr lang="en-US" sz="1100" b="0"/>
            <a:t>Formatação</a:t>
          </a:r>
          <a:r>
            <a:rPr lang="en-US" sz="1100" b="0" baseline="0"/>
            <a:t> Geral da Tabela</a:t>
          </a:r>
        </a:p>
        <a:p>
          <a:pPr algn="ctr"/>
          <a:r>
            <a:rPr lang="en-US" sz="1100" b="0" baseline="0"/>
            <a:t>Formatação dos Números</a:t>
          </a:r>
          <a:br>
            <a:rPr lang="en-US" sz="1100" b="0"/>
          </a:br>
          <a:r>
            <a:rPr lang="en-US" sz="1100" b="0"/>
            <a:t>Idade</a:t>
          </a:r>
          <a:r>
            <a:rPr lang="en-US" sz="1100" b="0" baseline="0"/>
            <a:t> das Pessoas</a:t>
          </a:r>
        </a:p>
        <a:p>
          <a:pPr algn="ctr"/>
          <a:r>
            <a:rPr lang="en-US" sz="1100" b="0" baseline="0"/>
            <a:t>Intervalo_Idade</a:t>
          </a:r>
        </a:p>
        <a:p>
          <a:pPr algn="ctr"/>
          <a:r>
            <a:rPr lang="en-US" sz="1100" b="0" baseline="0"/>
            <a:t>Separar coluna Produto-Preço</a:t>
          </a:r>
        </a:p>
        <a:p>
          <a:pPr algn="ctr"/>
          <a:endParaRPr lang="en-US" sz="1100"/>
        </a:p>
      </xdr:txBody>
    </xdr:sp>
    <xdr:clientData/>
  </xdr:twoCellAnchor>
  <xdr:twoCellAnchor>
    <xdr:from>
      <xdr:col>4</xdr:col>
      <xdr:colOff>84666</xdr:colOff>
      <xdr:row>9</xdr:row>
      <xdr:rowOff>179070</xdr:rowOff>
    </xdr:from>
    <xdr:to>
      <xdr:col>4</xdr:col>
      <xdr:colOff>358139</xdr:colOff>
      <xdr:row>15</xdr:row>
      <xdr:rowOff>57150</xdr:rowOff>
    </xdr:to>
    <xdr:cxnSp macro="">
      <xdr:nvCxnSpPr>
        <xdr:cNvPr id="5" name="Conector: Curv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stCxn id="2" idx="3"/>
          <a:endCxn id="3" idx="1"/>
        </xdr:cNvCxnSpPr>
      </xdr:nvCxnSpPr>
      <xdr:spPr>
        <a:xfrm>
          <a:off x="2523066" y="1855470"/>
          <a:ext cx="273473" cy="995680"/>
        </a:xfrm>
        <a:prstGeom prst="curved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127000</xdr:colOff>
      <xdr:row>15</xdr:row>
      <xdr:rowOff>2540</xdr:rowOff>
    </xdr:from>
    <xdr:to>
      <xdr:col>12</xdr:col>
      <xdr:colOff>187960</xdr:colOff>
      <xdr:row>21</xdr:row>
      <xdr:rowOff>25400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613400" y="2796540"/>
          <a:ext cx="1889760" cy="114046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Anáise de Dados</a:t>
          </a:r>
          <a:br>
            <a:rPr lang="en-US" sz="1100"/>
          </a:br>
          <a:r>
            <a:rPr lang="en-US" sz="1100"/>
            <a:t>(Tabela Dinâmica)</a:t>
          </a:r>
        </a:p>
      </xdr:txBody>
    </xdr:sp>
    <xdr:clientData/>
  </xdr:twoCellAnchor>
  <xdr:twoCellAnchor>
    <xdr:from>
      <xdr:col>8</xdr:col>
      <xdr:colOff>516466</xdr:colOff>
      <xdr:row>15</xdr:row>
      <xdr:rowOff>57150</xdr:rowOff>
    </xdr:from>
    <xdr:to>
      <xdr:col>9</xdr:col>
      <xdr:colOff>127000</xdr:colOff>
      <xdr:row>18</xdr:row>
      <xdr:rowOff>13970</xdr:rowOff>
    </xdr:to>
    <xdr:cxnSp macro="">
      <xdr:nvCxnSpPr>
        <xdr:cNvPr id="10" name="Conector: Curv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stCxn id="3" idx="3"/>
          <a:endCxn id="9" idx="1"/>
        </xdr:cNvCxnSpPr>
      </xdr:nvCxnSpPr>
      <xdr:spPr>
        <a:xfrm>
          <a:off x="5393266" y="2851150"/>
          <a:ext cx="220134" cy="51562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109220</xdr:colOff>
      <xdr:row>3</xdr:row>
      <xdr:rowOff>126154</xdr:rowOff>
    </xdr:from>
    <xdr:to>
      <xdr:col>16</xdr:col>
      <xdr:colOff>170180</xdr:colOff>
      <xdr:row>9</xdr:row>
      <xdr:rowOff>149014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8034020" y="684954"/>
          <a:ext cx="1889760" cy="114046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Bases Totais</a:t>
          </a:r>
        </a:p>
      </xdr:txBody>
    </xdr:sp>
    <xdr:clientData/>
  </xdr:twoCellAnchor>
  <xdr:twoCellAnchor>
    <xdr:from>
      <xdr:col>13</xdr:col>
      <xdr:colOff>110914</xdr:colOff>
      <xdr:row>10</xdr:row>
      <xdr:rowOff>83820</xdr:rowOff>
    </xdr:from>
    <xdr:to>
      <xdr:col>16</xdr:col>
      <xdr:colOff>171874</xdr:colOff>
      <xdr:row>16</xdr:row>
      <xdr:rowOff>106680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8035714" y="1946487"/>
          <a:ext cx="1889760" cy="114046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Faixa</a:t>
          </a:r>
          <a:r>
            <a:rPr lang="en-US" sz="1100" baseline="0"/>
            <a:t> Etária</a:t>
          </a:r>
          <a:r>
            <a:rPr lang="en-US" sz="1100"/>
            <a:t> e Gênero</a:t>
          </a:r>
        </a:p>
      </xdr:txBody>
    </xdr:sp>
    <xdr:clientData/>
  </xdr:twoCellAnchor>
  <xdr:twoCellAnchor>
    <xdr:from>
      <xdr:col>13</xdr:col>
      <xdr:colOff>106680</xdr:colOff>
      <xdr:row>17</xdr:row>
      <xdr:rowOff>129540</xdr:rowOff>
    </xdr:from>
    <xdr:to>
      <xdr:col>16</xdr:col>
      <xdr:colOff>167640</xdr:colOff>
      <xdr:row>23</xdr:row>
      <xdr:rowOff>152400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8031480" y="3055620"/>
          <a:ext cx="1889760" cy="112014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Produtos Mais VEndidos</a:t>
          </a:r>
        </a:p>
      </xdr:txBody>
    </xdr:sp>
    <xdr:clientData/>
  </xdr:twoCellAnchor>
  <xdr:twoCellAnchor>
    <xdr:from>
      <xdr:col>13</xdr:col>
      <xdr:colOff>129540</xdr:colOff>
      <xdr:row>25</xdr:row>
      <xdr:rowOff>68580</xdr:rowOff>
    </xdr:from>
    <xdr:to>
      <xdr:col>16</xdr:col>
      <xdr:colOff>190500</xdr:colOff>
      <xdr:row>31</xdr:row>
      <xdr:rowOff>91440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8054340" y="4457700"/>
          <a:ext cx="1889760" cy="112014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Avaliaçao</a:t>
          </a:r>
          <a:r>
            <a:rPr lang="en-US" sz="1100" baseline="0"/>
            <a:t> dos Clientes</a:t>
          </a:r>
          <a:endParaRPr lang="en-US" sz="1100"/>
        </a:p>
      </xdr:txBody>
    </xdr:sp>
    <xdr:clientData/>
  </xdr:twoCellAnchor>
  <xdr:twoCellAnchor>
    <xdr:from>
      <xdr:col>16</xdr:col>
      <xdr:colOff>358140</xdr:colOff>
      <xdr:row>3</xdr:row>
      <xdr:rowOff>53340</xdr:rowOff>
    </xdr:from>
    <xdr:to>
      <xdr:col>19</xdr:col>
      <xdr:colOff>419100</xdr:colOff>
      <xdr:row>9</xdr:row>
      <xdr:rowOff>76200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0111740" y="41910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Cartão</a:t>
          </a:r>
        </a:p>
      </xdr:txBody>
    </xdr:sp>
    <xdr:clientData/>
  </xdr:twoCellAnchor>
  <xdr:twoCellAnchor>
    <xdr:from>
      <xdr:col>16</xdr:col>
      <xdr:colOff>342900</xdr:colOff>
      <xdr:row>10</xdr:row>
      <xdr:rowOff>53340</xdr:rowOff>
    </xdr:from>
    <xdr:to>
      <xdr:col>19</xdr:col>
      <xdr:colOff>403860</xdr:colOff>
      <xdr:row>16</xdr:row>
      <xdr:rowOff>76200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0096500" y="169926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Colunas</a:t>
          </a:r>
        </a:p>
      </xdr:txBody>
    </xdr:sp>
    <xdr:clientData/>
  </xdr:twoCellAnchor>
  <xdr:twoCellAnchor>
    <xdr:from>
      <xdr:col>16</xdr:col>
      <xdr:colOff>381000</xdr:colOff>
      <xdr:row>17</xdr:row>
      <xdr:rowOff>99060</xdr:rowOff>
    </xdr:from>
    <xdr:to>
      <xdr:col>19</xdr:col>
      <xdr:colOff>441960</xdr:colOff>
      <xdr:row>23</xdr:row>
      <xdr:rowOff>121920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0134600" y="302514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Barras</a:t>
          </a:r>
        </a:p>
      </xdr:txBody>
    </xdr:sp>
    <xdr:clientData/>
  </xdr:twoCellAnchor>
  <xdr:twoCellAnchor>
    <xdr:from>
      <xdr:col>16</xdr:col>
      <xdr:colOff>403860</xdr:colOff>
      <xdr:row>25</xdr:row>
      <xdr:rowOff>38100</xdr:rowOff>
    </xdr:from>
    <xdr:to>
      <xdr:col>19</xdr:col>
      <xdr:colOff>464820</xdr:colOff>
      <xdr:row>31</xdr:row>
      <xdr:rowOff>60960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0157460" y="442722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Lista</a:t>
          </a:r>
        </a:p>
      </xdr:txBody>
    </xdr:sp>
    <xdr:clientData/>
  </xdr:twoCellAnchor>
  <xdr:twoCellAnchor>
    <xdr:from>
      <xdr:col>12</xdr:col>
      <xdr:colOff>187960</xdr:colOff>
      <xdr:row>6</xdr:row>
      <xdr:rowOff>137584</xdr:rowOff>
    </xdr:from>
    <xdr:to>
      <xdr:col>13</xdr:col>
      <xdr:colOff>109220</xdr:colOff>
      <xdr:row>18</xdr:row>
      <xdr:rowOff>13970</xdr:rowOff>
    </xdr:to>
    <xdr:cxnSp macro="">
      <xdr:nvCxnSpPr>
        <xdr:cNvPr id="23" name="Conector: Curv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>
          <a:stCxn id="9" idx="3"/>
          <a:endCxn id="15" idx="1"/>
        </xdr:cNvCxnSpPr>
      </xdr:nvCxnSpPr>
      <xdr:spPr>
        <a:xfrm flipV="1">
          <a:off x="7503160" y="1255184"/>
          <a:ext cx="530860" cy="2111586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187960</xdr:colOff>
      <xdr:row>13</xdr:row>
      <xdr:rowOff>95250</xdr:rowOff>
    </xdr:from>
    <xdr:to>
      <xdr:col>13</xdr:col>
      <xdr:colOff>110914</xdr:colOff>
      <xdr:row>18</xdr:row>
      <xdr:rowOff>13970</xdr:rowOff>
    </xdr:to>
    <xdr:cxnSp macro="">
      <xdr:nvCxnSpPr>
        <xdr:cNvPr id="27" name="Conector: Curv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>
          <a:stCxn id="9" idx="3"/>
          <a:endCxn id="16" idx="1"/>
        </xdr:cNvCxnSpPr>
      </xdr:nvCxnSpPr>
      <xdr:spPr>
        <a:xfrm flipV="1">
          <a:off x="7503160" y="2516717"/>
          <a:ext cx="532554" cy="85005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187960</xdr:colOff>
      <xdr:row>18</xdr:row>
      <xdr:rowOff>13970</xdr:rowOff>
    </xdr:from>
    <xdr:to>
      <xdr:col>13</xdr:col>
      <xdr:colOff>106680</xdr:colOff>
      <xdr:row>20</xdr:row>
      <xdr:rowOff>140970</xdr:rowOff>
    </xdr:to>
    <xdr:cxnSp macro="">
      <xdr:nvCxnSpPr>
        <xdr:cNvPr id="30" name="Conector: Curv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>
          <a:stCxn id="9" idx="3"/>
          <a:endCxn id="17" idx="1"/>
        </xdr:cNvCxnSpPr>
      </xdr:nvCxnSpPr>
      <xdr:spPr>
        <a:xfrm>
          <a:off x="7503160" y="3366770"/>
          <a:ext cx="528320" cy="49953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187960</xdr:colOff>
      <xdr:row>18</xdr:row>
      <xdr:rowOff>13970</xdr:rowOff>
    </xdr:from>
    <xdr:to>
      <xdr:col>13</xdr:col>
      <xdr:colOff>129540</xdr:colOff>
      <xdr:row>28</xdr:row>
      <xdr:rowOff>80010</xdr:rowOff>
    </xdr:to>
    <xdr:cxnSp macro="">
      <xdr:nvCxnSpPr>
        <xdr:cNvPr id="33" name="Conector: Curv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>
          <a:stCxn id="9" idx="3"/>
          <a:endCxn id="18" idx="1"/>
        </xdr:cNvCxnSpPr>
      </xdr:nvCxnSpPr>
      <xdr:spPr>
        <a:xfrm>
          <a:off x="7503160" y="3366770"/>
          <a:ext cx="551180" cy="1928707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160020</xdr:colOff>
      <xdr:row>32</xdr:row>
      <xdr:rowOff>60960</xdr:rowOff>
    </xdr:from>
    <xdr:to>
      <xdr:col>16</xdr:col>
      <xdr:colOff>220980</xdr:colOff>
      <xdr:row>38</xdr:row>
      <xdr:rowOff>83820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8084820" y="5730240"/>
          <a:ext cx="1889760" cy="112014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REgião</a:t>
          </a:r>
        </a:p>
      </xdr:txBody>
    </xdr:sp>
    <xdr:clientData/>
  </xdr:twoCellAnchor>
  <xdr:twoCellAnchor>
    <xdr:from>
      <xdr:col>16</xdr:col>
      <xdr:colOff>434340</xdr:colOff>
      <xdr:row>32</xdr:row>
      <xdr:rowOff>30480</xdr:rowOff>
    </xdr:from>
    <xdr:to>
      <xdr:col>19</xdr:col>
      <xdr:colOff>495300</xdr:colOff>
      <xdr:row>38</xdr:row>
      <xdr:rowOff>53340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0187940" y="569976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Mapa</a:t>
          </a:r>
        </a:p>
      </xdr:txBody>
    </xdr:sp>
    <xdr:clientData/>
  </xdr:twoCellAnchor>
  <xdr:twoCellAnchor>
    <xdr:from>
      <xdr:col>12</xdr:col>
      <xdr:colOff>187960</xdr:colOff>
      <xdr:row>18</xdr:row>
      <xdr:rowOff>13970</xdr:rowOff>
    </xdr:from>
    <xdr:to>
      <xdr:col>13</xdr:col>
      <xdr:colOff>160020</xdr:colOff>
      <xdr:row>35</xdr:row>
      <xdr:rowOff>72390</xdr:rowOff>
    </xdr:to>
    <xdr:cxnSp macro="">
      <xdr:nvCxnSpPr>
        <xdr:cNvPr id="38" name="Conector: Curv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>
          <a:stCxn id="9" idx="3"/>
          <a:endCxn id="36" idx="1"/>
        </xdr:cNvCxnSpPr>
      </xdr:nvCxnSpPr>
      <xdr:spPr>
        <a:xfrm>
          <a:off x="7503160" y="3366770"/>
          <a:ext cx="581660" cy="322495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167640</xdr:colOff>
      <xdr:row>39</xdr:row>
      <xdr:rowOff>121920</xdr:rowOff>
    </xdr:from>
    <xdr:to>
      <xdr:col>16</xdr:col>
      <xdr:colOff>228600</xdr:colOff>
      <xdr:row>45</xdr:row>
      <xdr:rowOff>144780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092440" y="7071360"/>
          <a:ext cx="1889760" cy="112014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Receita</a:t>
          </a:r>
          <a:r>
            <a:rPr lang="en-US" sz="1100" baseline="0"/>
            <a:t> Mensal e Anual</a:t>
          </a:r>
          <a:endParaRPr lang="en-US" sz="1100"/>
        </a:p>
      </xdr:txBody>
    </xdr:sp>
    <xdr:clientData/>
  </xdr:twoCellAnchor>
  <xdr:twoCellAnchor>
    <xdr:from>
      <xdr:col>12</xdr:col>
      <xdr:colOff>187960</xdr:colOff>
      <xdr:row>18</xdr:row>
      <xdr:rowOff>13970</xdr:rowOff>
    </xdr:from>
    <xdr:to>
      <xdr:col>13</xdr:col>
      <xdr:colOff>167640</xdr:colOff>
      <xdr:row>42</xdr:row>
      <xdr:rowOff>133350</xdr:rowOff>
    </xdr:to>
    <xdr:cxnSp macro="">
      <xdr:nvCxnSpPr>
        <xdr:cNvPr id="8" name="Conector: Curv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>
          <a:stCxn id="9" idx="3"/>
          <a:endCxn id="7" idx="1"/>
        </xdr:cNvCxnSpPr>
      </xdr:nvCxnSpPr>
      <xdr:spPr>
        <a:xfrm>
          <a:off x="7503160" y="3366770"/>
          <a:ext cx="589280" cy="458978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434340</xdr:colOff>
      <xdr:row>39</xdr:row>
      <xdr:rowOff>137160</xdr:rowOff>
    </xdr:from>
    <xdr:to>
      <xdr:col>19</xdr:col>
      <xdr:colOff>495300</xdr:colOff>
      <xdr:row>45</xdr:row>
      <xdr:rowOff>160020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0187940" y="708660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Lista</a:t>
          </a:r>
        </a:p>
      </xdr:txBody>
    </xdr:sp>
    <xdr:clientData/>
  </xdr:twoCellAnchor>
  <xdr:twoCellAnchor>
    <xdr:from>
      <xdr:col>20</xdr:col>
      <xdr:colOff>436880</xdr:colOff>
      <xdr:row>3</xdr:row>
      <xdr:rowOff>33020</xdr:rowOff>
    </xdr:from>
    <xdr:to>
      <xdr:col>23</xdr:col>
      <xdr:colOff>497840</xdr:colOff>
      <xdr:row>9</xdr:row>
      <xdr:rowOff>59267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2628880" y="591820"/>
          <a:ext cx="1889760" cy="1143847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Dashboard</a:t>
          </a:r>
        </a:p>
      </xdr:txBody>
    </xdr:sp>
    <xdr:clientData/>
  </xdr:twoCellAnchor>
  <xdr:twoCellAnchor>
    <xdr:from>
      <xdr:col>20</xdr:col>
      <xdr:colOff>469053</xdr:colOff>
      <xdr:row>9</xdr:row>
      <xdr:rowOff>155786</xdr:rowOff>
    </xdr:from>
    <xdr:to>
      <xdr:col>23</xdr:col>
      <xdr:colOff>530013</xdr:colOff>
      <xdr:row>15</xdr:row>
      <xdr:rowOff>178646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2661053" y="1832186"/>
          <a:ext cx="1889760" cy="114046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Segmentadores de dados</a:t>
          </a:r>
          <a:br>
            <a:rPr lang="en-US" sz="1100"/>
          </a:br>
          <a:r>
            <a:rPr lang="en-US" sz="1100"/>
            <a:t>(Produto)</a:t>
          </a:r>
          <a:br>
            <a:rPr lang="en-US" sz="1100"/>
          </a:br>
          <a:r>
            <a:rPr lang="en-US" sz="1100"/>
            <a:t>(Faixa</a:t>
          </a:r>
          <a:r>
            <a:rPr lang="en-US" sz="1100" baseline="0"/>
            <a:t> Etária)</a:t>
          </a:r>
        </a:p>
        <a:p>
          <a:pPr algn="ctr"/>
          <a:r>
            <a:rPr lang="en-US" sz="1100" baseline="0"/>
            <a:t>(Região)</a:t>
          </a:r>
          <a:br>
            <a:rPr lang="en-US" sz="1100" baseline="0"/>
          </a:br>
          <a:r>
            <a:rPr lang="en-US" sz="1100" baseline="0"/>
            <a:t>(Genero)</a:t>
          </a:r>
          <a:endParaRPr lang="en-US" sz="1100"/>
        </a:p>
      </xdr:txBody>
    </xdr:sp>
    <xdr:clientData/>
  </xdr:twoCellAnchor>
  <xdr:twoCellAnchor>
    <xdr:from>
      <xdr:col>0</xdr:col>
      <xdr:colOff>152400</xdr:colOff>
      <xdr:row>0</xdr:row>
      <xdr:rowOff>93134</xdr:rowOff>
    </xdr:from>
    <xdr:to>
      <xdr:col>4</xdr:col>
      <xdr:colOff>296333</xdr:colOff>
      <xdr:row>3</xdr:row>
      <xdr:rowOff>33868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52400" y="93134"/>
          <a:ext cx="2582333" cy="49953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/>
            <a:t>Planejamento</a:t>
          </a:r>
        </a:p>
      </xdr:txBody>
    </xdr:sp>
    <xdr:clientData/>
  </xdr:twoCellAnchor>
  <xdr:twoCellAnchor>
    <xdr:from>
      <xdr:col>4</xdr:col>
      <xdr:colOff>347133</xdr:colOff>
      <xdr:row>0</xdr:row>
      <xdr:rowOff>110068</xdr:rowOff>
    </xdr:from>
    <xdr:to>
      <xdr:col>8</xdr:col>
      <xdr:colOff>364066</xdr:colOff>
      <xdr:row>3</xdr:row>
      <xdr:rowOff>50802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785533" y="110068"/>
          <a:ext cx="2455333" cy="49953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/>
            <a:t>Limpeza</a:t>
          </a:r>
        </a:p>
      </xdr:txBody>
    </xdr:sp>
    <xdr:clientData/>
  </xdr:twoCellAnchor>
  <xdr:twoCellAnchor>
    <xdr:from>
      <xdr:col>8</xdr:col>
      <xdr:colOff>482599</xdr:colOff>
      <xdr:row>0</xdr:row>
      <xdr:rowOff>110068</xdr:rowOff>
    </xdr:from>
    <xdr:to>
      <xdr:col>16</xdr:col>
      <xdr:colOff>42332</xdr:colOff>
      <xdr:row>3</xdr:row>
      <xdr:rowOff>50802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359399" y="110068"/>
          <a:ext cx="4436533" cy="499534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/>
            <a:t>Análise</a:t>
          </a:r>
        </a:p>
      </xdr:txBody>
    </xdr:sp>
    <xdr:clientData/>
  </xdr:twoCellAnchor>
  <xdr:twoCellAnchor>
    <xdr:from>
      <xdr:col>16</xdr:col>
      <xdr:colOff>287866</xdr:colOff>
      <xdr:row>0</xdr:row>
      <xdr:rowOff>76201</xdr:rowOff>
    </xdr:from>
    <xdr:to>
      <xdr:col>23</xdr:col>
      <xdr:colOff>457199</xdr:colOff>
      <xdr:row>3</xdr:row>
      <xdr:rowOff>16935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041466" y="76201"/>
          <a:ext cx="4436533" cy="499534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/>
            <a:t>Design</a:t>
          </a:r>
        </a:p>
      </xdr:txBody>
    </xdr:sp>
    <xdr:clientData/>
  </xdr:twoCellAnchor>
  <xdr:twoCellAnchor>
    <xdr:from>
      <xdr:col>13</xdr:col>
      <xdr:colOff>207275</xdr:colOff>
      <xdr:row>47</xdr:row>
      <xdr:rowOff>65426</xdr:rowOff>
    </xdr:from>
    <xdr:to>
      <xdr:col>16</xdr:col>
      <xdr:colOff>268235</xdr:colOff>
      <xdr:row>53</xdr:row>
      <xdr:rowOff>116198</xdr:rowOff>
    </xdr:to>
    <xdr:sp macro="" textlink="">
      <xdr:nvSpPr>
        <xdr:cNvPr id="4" name="Retângulo: Cantos Arredondados 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915846" y="9555536"/>
          <a:ext cx="2070631" cy="122308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Grau de escolaridade</a:t>
          </a:r>
        </a:p>
      </xdr:txBody>
    </xdr:sp>
    <xdr:clientData/>
  </xdr:twoCellAnchor>
  <xdr:twoCellAnchor>
    <xdr:from>
      <xdr:col>11</xdr:col>
      <xdr:colOff>134369</xdr:colOff>
      <xdr:row>17</xdr:row>
      <xdr:rowOff>45232</xdr:rowOff>
    </xdr:from>
    <xdr:to>
      <xdr:col>13</xdr:col>
      <xdr:colOff>207275</xdr:colOff>
      <xdr:row>50</xdr:row>
      <xdr:rowOff>90812</xdr:rowOff>
    </xdr:to>
    <xdr:cxnSp macro="">
      <xdr:nvCxnSpPr>
        <xdr:cNvPr id="26" name="Conector: Curvo 7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endCxn id="4" idx="1"/>
        </xdr:cNvCxnSpPr>
      </xdr:nvCxnSpPr>
      <xdr:spPr>
        <a:xfrm rot="16200000" flipH="1">
          <a:off x="4809350" y="6060580"/>
          <a:ext cx="6800306" cy="1412686"/>
        </a:xfrm>
        <a:prstGeom prst="curved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169844</xdr:colOff>
      <xdr:row>17</xdr:row>
      <xdr:rowOff>112617</xdr:rowOff>
    </xdr:from>
    <xdr:to>
      <xdr:col>20</xdr:col>
      <xdr:colOff>243290</xdr:colOff>
      <xdr:row>32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1DD5B24-F6DE-1D83-11BB-8E74D95E29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7944" y="3135217"/>
              <a:ext cx="4581946" cy="26559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202873</xdr:colOff>
      <xdr:row>15</xdr:row>
      <xdr:rowOff>163458</xdr:rowOff>
    </xdr:from>
    <xdr:to>
      <xdr:col>21</xdr:col>
      <xdr:colOff>254000</xdr:colOff>
      <xdr:row>38</xdr:row>
      <xdr:rowOff>84666</xdr:rowOff>
    </xdr:to>
    <xdr:sp macro="" textlink="">
      <xdr:nvSpPr>
        <xdr:cNvPr id="51" name="Retângulo: Cantos Arredondados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9685540" y="2957458"/>
          <a:ext cx="4792460" cy="4205341"/>
        </a:xfrm>
        <a:prstGeom prst="roundRect">
          <a:avLst>
            <a:gd name="adj" fmla="val 7778"/>
          </a:avLst>
        </a:prstGeom>
        <a:solidFill>
          <a:srgbClr val="1006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174935</xdr:colOff>
      <xdr:row>15</xdr:row>
      <xdr:rowOff>122576</xdr:rowOff>
    </xdr:from>
    <xdr:to>
      <xdr:col>14</xdr:col>
      <xdr:colOff>171980</xdr:colOff>
      <xdr:row>38</xdr:row>
      <xdr:rowOff>69850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864347" y="2811988"/>
          <a:ext cx="6720574" cy="4071038"/>
        </a:xfrm>
        <a:prstGeom prst="roundRect">
          <a:avLst>
            <a:gd name="adj" fmla="val 7778"/>
          </a:avLst>
        </a:prstGeom>
        <a:solidFill>
          <a:srgbClr val="1006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372561"/>
            </a:solidFill>
          </a:endParaRPr>
        </a:p>
      </xdr:txBody>
    </xdr:sp>
    <xdr:clientData/>
  </xdr:twoCellAnchor>
  <xdr:twoCellAnchor>
    <xdr:from>
      <xdr:col>3</xdr:col>
      <xdr:colOff>422834</xdr:colOff>
      <xdr:row>4</xdr:row>
      <xdr:rowOff>46654</xdr:rowOff>
    </xdr:from>
    <xdr:to>
      <xdr:col>14</xdr:col>
      <xdr:colOff>171062</xdr:colOff>
      <xdr:row>15</xdr:row>
      <xdr:rowOff>46653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454834" y="757854"/>
          <a:ext cx="7198895" cy="1955799"/>
        </a:xfrm>
        <a:prstGeom prst="roundRect">
          <a:avLst>
            <a:gd name="adj" fmla="val 7778"/>
          </a:avLst>
        </a:prstGeom>
        <a:solidFill>
          <a:srgbClr val="1006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623CEA"/>
            </a:solidFill>
          </a:endParaRPr>
        </a:p>
      </xdr:txBody>
    </xdr:sp>
    <xdr:clientData/>
  </xdr:twoCellAnchor>
  <xdr:twoCellAnchor>
    <xdr:from>
      <xdr:col>0</xdr:col>
      <xdr:colOff>107147</xdr:colOff>
      <xdr:row>0</xdr:row>
      <xdr:rowOff>76356</xdr:rowOff>
    </xdr:from>
    <xdr:to>
      <xdr:col>4</xdr:col>
      <xdr:colOff>69047</xdr:colOff>
      <xdr:row>36</xdr:row>
      <xdr:rowOff>15396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7147" y="76356"/>
          <a:ext cx="2387859" cy="6657081"/>
        </a:xfrm>
        <a:prstGeom prst="roundRect">
          <a:avLst>
            <a:gd name="adj" fmla="val 7778"/>
          </a:avLst>
        </a:prstGeom>
        <a:solidFill>
          <a:srgbClr val="1006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15551</xdr:colOff>
      <xdr:row>6</xdr:row>
      <xdr:rowOff>44944</xdr:rowOff>
    </xdr:from>
    <xdr:to>
      <xdr:col>7</xdr:col>
      <xdr:colOff>256298</xdr:colOff>
      <xdr:row>13</xdr:row>
      <xdr:rowOff>37324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441510" y="1164617"/>
          <a:ext cx="2060217" cy="1298666"/>
        </a:xfrm>
        <a:prstGeom prst="roundRect">
          <a:avLst>
            <a:gd name="adj" fmla="val 13673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279919</xdr:colOff>
      <xdr:row>0</xdr:row>
      <xdr:rowOff>155508</xdr:rowOff>
    </xdr:from>
    <xdr:to>
      <xdr:col>23</xdr:col>
      <xdr:colOff>108858</xdr:colOff>
      <xdr:row>4</xdr:row>
      <xdr:rowOff>31099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2705878" y="155508"/>
          <a:ext cx="11352245" cy="6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bg1"/>
              </a:solidFill>
              <a:latin typeface="+mn-lt"/>
            </a:rPr>
            <a:t>Análise Quantitativa de </a:t>
          </a:r>
          <a:r>
            <a:rPr lang="en-US" sz="3200" b="1" baseline="0">
              <a:solidFill>
                <a:schemeClr val="bg1"/>
              </a:solidFill>
              <a:latin typeface="+mn-lt"/>
            </a:rPr>
            <a:t>Produtos por Assinatura Região Sul - </a:t>
          </a:r>
          <a:r>
            <a:rPr lang="en-US" sz="3200" b="1" baseline="0">
              <a:solidFill>
                <a:srgbClr val="6477F2"/>
              </a:solidFill>
              <a:latin typeface="+mn-lt"/>
            </a:rPr>
            <a:t>2024</a:t>
          </a:r>
          <a:endParaRPr lang="en-US" sz="3200" b="1">
            <a:solidFill>
              <a:srgbClr val="6477F2"/>
            </a:solidFill>
            <a:latin typeface="+mn-lt"/>
          </a:endParaRPr>
        </a:p>
      </xdr:txBody>
    </xdr:sp>
    <xdr:clientData/>
  </xdr:twoCellAnchor>
  <xdr:twoCellAnchor>
    <xdr:from>
      <xdr:col>4</xdr:col>
      <xdr:colOff>51338</xdr:colOff>
      <xdr:row>6</xdr:row>
      <xdr:rowOff>77754</xdr:rowOff>
    </xdr:from>
    <xdr:to>
      <xdr:col>7</xdr:col>
      <xdr:colOff>575407</xdr:colOff>
      <xdr:row>8</xdr:row>
      <xdr:rowOff>155510</xdr:rowOff>
    </xdr:to>
    <xdr:sp macro="" textlink="#REF!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2477297" y="1197427"/>
          <a:ext cx="2343539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baseline="0">
              <a:solidFill>
                <a:schemeClr val="bg1"/>
              </a:solidFill>
              <a:latin typeface="+mn-lt"/>
            </a:rPr>
            <a:t>Base Assinantes</a:t>
          </a:r>
          <a:endParaRPr lang="en-US" sz="1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4</xdr:col>
      <xdr:colOff>93324</xdr:colOff>
      <xdr:row>6</xdr:row>
      <xdr:rowOff>186612</xdr:rowOff>
    </xdr:from>
    <xdr:to>
      <xdr:col>4</xdr:col>
      <xdr:colOff>93324</xdr:colOff>
      <xdr:row>8</xdr:row>
      <xdr:rowOff>29387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2519283" y="1306285"/>
          <a:ext cx="0" cy="216000"/>
        </a:xfrm>
        <a:prstGeom prst="line">
          <a:avLst/>
        </a:prstGeom>
        <a:ln w="57150" cap="rnd">
          <a:solidFill>
            <a:srgbClr val="37256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351464</xdr:colOff>
      <xdr:row>16</xdr:row>
      <xdr:rowOff>69985</xdr:rowOff>
    </xdr:from>
    <xdr:to>
      <xdr:col>10</xdr:col>
      <xdr:colOff>113391</xdr:colOff>
      <xdr:row>18</xdr:row>
      <xdr:rowOff>90202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3027535" y="2972842"/>
          <a:ext cx="3776035" cy="383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rgbClr val="DADADA"/>
              </a:solidFill>
              <a:latin typeface="+mn-lt"/>
            </a:rPr>
            <a:t>Análise</a:t>
          </a:r>
          <a:r>
            <a:rPr lang="en-US" sz="1600" b="1" i="0" u="none" strike="noStrike" baseline="0">
              <a:solidFill>
                <a:srgbClr val="DADADA"/>
              </a:solidFill>
              <a:latin typeface="+mn-lt"/>
            </a:rPr>
            <a:t> da Base de Assinantes </a:t>
          </a:r>
          <a:endParaRPr lang="en-US" sz="1600" b="1" i="0" u="none" strike="noStrike">
            <a:solidFill>
              <a:srgbClr val="DADADA"/>
            </a:solidFill>
            <a:latin typeface="+mn-lt"/>
          </a:endParaRPr>
        </a:p>
      </xdr:txBody>
    </xdr:sp>
    <xdr:clientData/>
  </xdr:twoCellAnchor>
  <xdr:twoCellAnchor>
    <xdr:from>
      <xdr:col>4</xdr:col>
      <xdr:colOff>315696</xdr:colOff>
      <xdr:row>17</xdr:row>
      <xdr:rowOff>35773</xdr:rowOff>
    </xdr:from>
    <xdr:to>
      <xdr:col>4</xdr:col>
      <xdr:colOff>318794</xdr:colOff>
      <xdr:row>19</xdr:row>
      <xdr:rowOff>77761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/>
      </xdr:nvCxnSpPr>
      <xdr:spPr>
        <a:xfrm>
          <a:off x="2741655" y="3208181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348356</xdr:colOff>
      <xdr:row>17</xdr:row>
      <xdr:rowOff>113528</xdr:rowOff>
    </xdr:from>
    <xdr:to>
      <xdr:col>8</xdr:col>
      <xdr:colOff>203200</xdr:colOff>
      <xdr:row>19</xdr:row>
      <xdr:rowOff>133744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3040756" y="3136128"/>
          <a:ext cx="2547244" cy="375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0" i="0" u="none" strike="noStrike" baseline="0">
              <a:solidFill>
                <a:srgbClr val="DADADA"/>
              </a:solidFill>
              <a:latin typeface="+mn-lt"/>
            </a:rPr>
            <a:t>por</a:t>
          </a:r>
          <a:r>
            <a:rPr lang="en-US" sz="1400" b="1" i="0" u="none" strike="noStrike" baseline="0">
              <a:solidFill>
                <a:srgbClr val="DADADA"/>
              </a:solidFill>
              <a:latin typeface="+mn-lt"/>
            </a:rPr>
            <a:t> </a:t>
          </a:r>
          <a:r>
            <a:rPr lang="en-US" sz="1400" b="1" i="0" u="none" strike="noStrike" baseline="0">
              <a:solidFill>
                <a:schemeClr val="accent2"/>
              </a:solidFill>
              <a:latin typeface="+mn-lt"/>
            </a:rPr>
            <a:t>gênero</a:t>
          </a:r>
          <a:r>
            <a:rPr lang="en-US" sz="1400" b="1" i="0" u="none" strike="noStrike" baseline="0">
              <a:solidFill>
                <a:srgbClr val="DADADA"/>
              </a:solidFill>
              <a:latin typeface="+mn-lt"/>
            </a:rPr>
            <a:t> </a:t>
          </a:r>
          <a:r>
            <a:rPr lang="en-US" sz="1400" b="0" i="0" u="none" strike="noStrike" baseline="0">
              <a:solidFill>
                <a:srgbClr val="DADADA"/>
              </a:solidFill>
              <a:latin typeface="+mn-lt"/>
            </a:rPr>
            <a:t>e</a:t>
          </a:r>
          <a:r>
            <a:rPr lang="en-US" sz="1400" b="1" i="0" u="none" strike="noStrike" baseline="0">
              <a:solidFill>
                <a:srgbClr val="DADADA"/>
              </a:solidFill>
              <a:latin typeface="+mn-lt"/>
            </a:rPr>
            <a:t> </a:t>
          </a:r>
          <a:r>
            <a:rPr lang="en-US" sz="1400" b="1" i="0" u="none" strike="noStrike" baseline="0">
              <a:solidFill>
                <a:schemeClr val="accent1"/>
              </a:solidFill>
              <a:latin typeface="+mn-lt"/>
            </a:rPr>
            <a:t>faixa etária </a:t>
          </a:r>
          <a:endParaRPr lang="en-US" sz="1400" b="1" i="0" u="none" strike="noStrike">
            <a:solidFill>
              <a:schemeClr val="accent1"/>
            </a:solidFill>
            <a:latin typeface="+mn-lt"/>
          </a:endParaRPr>
        </a:p>
      </xdr:txBody>
    </xdr:sp>
    <xdr:clientData/>
  </xdr:twoCellAnchor>
  <xdr:twoCellAnchor>
    <xdr:from>
      <xdr:col>21</xdr:col>
      <xdr:colOff>398684</xdr:colOff>
      <xdr:row>16</xdr:row>
      <xdr:rowOff>1651</xdr:rowOff>
    </xdr:from>
    <xdr:to>
      <xdr:col>26</xdr:col>
      <xdr:colOff>609600</xdr:colOff>
      <xdr:row>18</xdr:row>
      <xdr:rowOff>27512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14622684" y="2981918"/>
          <a:ext cx="3597583" cy="398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Análise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da Base de Assinantes 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21</xdr:col>
      <xdr:colOff>408712</xdr:colOff>
      <xdr:row>16</xdr:row>
      <xdr:rowOff>124634</xdr:rowOff>
    </xdr:from>
    <xdr:to>
      <xdr:col>21</xdr:col>
      <xdr:colOff>411810</xdr:colOff>
      <xdr:row>18</xdr:row>
      <xdr:rowOff>153192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CxnSpPr/>
      </xdr:nvCxnSpPr>
      <xdr:spPr>
        <a:xfrm>
          <a:off x="14632712" y="3104901"/>
          <a:ext cx="3098" cy="401091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404470</xdr:colOff>
      <xdr:row>17</xdr:row>
      <xdr:rowOff>54994</xdr:rowOff>
    </xdr:from>
    <xdr:to>
      <xdr:col>24</xdr:col>
      <xdr:colOff>561520</xdr:colOff>
      <xdr:row>19</xdr:row>
      <xdr:rowOff>75210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14628470" y="3221527"/>
          <a:ext cx="2189050" cy="39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0" i="0" u="none" strike="noStrike" baseline="0">
              <a:solidFill>
                <a:schemeClr val="bg1"/>
              </a:solidFill>
              <a:latin typeface="+mn-lt"/>
            </a:rPr>
            <a:t>por</a:t>
          </a:r>
          <a:r>
            <a:rPr lang="en-US" sz="1400" b="1" i="0" u="none" strike="noStrike" baseline="0">
              <a:solidFill>
                <a:schemeClr val="bg1"/>
              </a:solidFill>
              <a:latin typeface="+mn-lt"/>
            </a:rPr>
            <a:t> </a:t>
          </a:r>
          <a:r>
            <a:rPr lang="en-US" sz="1400" b="1" i="0" u="none" strike="noStrike" baseline="0">
              <a:solidFill>
                <a:schemeClr val="accent5"/>
              </a:solidFill>
              <a:latin typeface="+mn-lt"/>
            </a:rPr>
            <a:t>estado</a:t>
          </a:r>
          <a:endParaRPr lang="en-US" sz="1400" b="1" i="0" u="none" strike="noStrike">
            <a:solidFill>
              <a:schemeClr val="accent5"/>
            </a:solidFill>
            <a:latin typeface="+mn-lt"/>
          </a:endParaRPr>
        </a:p>
      </xdr:txBody>
    </xdr:sp>
    <xdr:clientData/>
  </xdr:twoCellAnchor>
  <xdr:twoCellAnchor>
    <xdr:from>
      <xdr:col>14</xdr:col>
      <xdr:colOff>375379</xdr:colOff>
      <xdr:row>4</xdr:row>
      <xdr:rowOff>43842</xdr:rowOff>
    </xdr:from>
    <xdr:to>
      <xdr:col>22</xdr:col>
      <xdr:colOff>193427</xdr:colOff>
      <xdr:row>6</xdr:row>
      <xdr:rowOff>64059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9759268" y="749398"/>
          <a:ext cx="5180270" cy="372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Análise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de Assinantes </a:t>
          </a:r>
          <a:r>
            <a:rPr lang="en-US" sz="16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por</a:t>
          </a:r>
          <a:r>
            <a:rPr lang="en-US" sz="16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i="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produto</a:t>
          </a:r>
          <a:r>
            <a:rPr lang="en-US" sz="1600" b="1" i="0" baseline="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i="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vendido</a:t>
          </a:r>
          <a:endParaRPr lang="en-US" sz="1600"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14</xdr:col>
      <xdr:colOff>362746</xdr:colOff>
      <xdr:row>4</xdr:row>
      <xdr:rowOff>48316</xdr:rowOff>
    </xdr:from>
    <xdr:to>
      <xdr:col>14</xdr:col>
      <xdr:colOff>365844</xdr:colOff>
      <xdr:row>6</xdr:row>
      <xdr:rowOff>90305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/>
      </xdr:nvCxnSpPr>
      <xdr:spPr>
        <a:xfrm>
          <a:off x="9746635" y="753872"/>
          <a:ext cx="3098" cy="394766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127846</xdr:colOff>
      <xdr:row>5</xdr:row>
      <xdr:rowOff>77660</xdr:rowOff>
    </xdr:from>
    <xdr:to>
      <xdr:col>13</xdr:col>
      <xdr:colOff>642471</xdr:colOff>
      <xdr:row>7</xdr:row>
      <xdr:rowOff>145193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/>
      </xdr:nvSpPr>
      <xdr:spPr>
        <a:xfrm>
          <a:off x="5506670" y="974131"/>
          <a:ext cx="3876389" cy="426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0" i="0" u="none" strike="noStrike">
              <a:solidFill>
                <a:schemeClr val="bg1"/>
              </a:solidFill>
              <a:latin typeface="+mn-lt"/>
            </a:rPr>
            <a:t>Receita</a:t>
          </a:r>
          <a:r>
            <a:rPr lang="en-US" sz="1600" b="0" i="0" u="none" strike="noStrike" baseline="0">
              <a:solidFill>
                <a:schemeClr val="bg1"/>
              </a:solidFill>
              <a:latin typeface="+mn-lt"/>
            </a:rPr>
            <a:t> de produtos por assinatura</a:t>
          </a:r>
          <a:endParaRPr lang="en-US" sz="16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8</xdr:col>
      <xdr:colOff>517073</xdr:colOff>
      <xdr:row>9</xdr:row>
      <xdr:rowOff>62196</xdr:rowOff>
    </xdr:from>
    <xdr:to>
      <xdr:col>12</xdr:col>
      <xdr:colOff>165349</xdr:colOff>
      <xdr:row>9</xdr:row>
      <xdr:rowOff>85523</xdr:rowOff>
    </xdr:to>
    <xdr:cxnSp macro="">
      <xdr:nvCxnSpPr>
        <xdr:cNvPr id="45" name="Conector: Angulado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>
          <a:cxnSpLocks/>
        </xdr:cNvCxnSpPr>
      </xdr:nvCxnSpPr>
      <xdr:spPr>
        <a:xfrm rot="16200000" flipH="1">
          <a:off x="6394445" y="716252"/>
          <a:ext cx="23327" cy="2074236"/>
        </a:xfrm>
        <a:prstGeom prst="bentConnector3">
          <a:avLst>
            <a:gd name="adj1" fmla="val -579989"/>
          </a:avLst>
        </a:prstGeom>
        <a:ln>
          <a:solidFill>
            <a:schemeClr val="accent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317253</xdr:colOff>
      <xdr:row>11</xdr:row>
      <xdr:rowOff>48199</xdr:rowOff>
    </xdr:from>
    <xdr:to>
      <xdr:col>10</xdr:col>
      <xdr:colOff>46653</xdr:colOff>
      <xdr:row>13</xdr:row>
      <xdr:rowOff>125956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/>
      </xdr:nvSpPr>
      <xdr:spPr>
        <a:xfrm>
          <a:off x="4562682" y="2100934"/>
          <a:ext cx="1548869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accent5"/>
              </a:solidFill>
              <a:latin typeface="+mn-lt"/>
            </a:rPr>
            <a:t>(MENSALIDADE)</a:t>
          </a:r>
        </a:p>
      </xdr:txBody>
    </xdr:sp>
    <xdr:clientData/>
  </xdr:twoCellAnchor>
  <xdr:twoCellAnchor>
    <xdr:from>
      <xdr:col>11</xdr:col>
      <xdr:colOff>49775</xdr:colOff>
      <xdr:row>11</xdr:row>
      <xdr:rowOff>76191</xdr:rowOff>
    </xdr:from>
    <xdr:to>
      <xdr:col>13</xdr:col>
      <xdr:colOff>385665</xdr:colOff>
      <xdr:row>13</xdr:row>
      <xdr:rowOff>153948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/>
      </xdr:nvSpPr>
      <xdr:spPr>
        <a:xfrm>
          <a:off x="6721163" y="2128926"/>
          <a:ext cx="1548869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accent5"/>
              </a:solidFill>
              <a:latin typeface="+mn-lt"/>
            </a:rPr>
            <a:t>(PREVISÃO</a:t>
          </a:r>
          <a:r>
            <a:rPr lang="en-US" sz="1200" b="1" i="0" u="none" strike="noStrike" baseline="0">
              <a:solidFill>
                <a:schemeClr val="accent5"/>
              </a:solidFill>
              <a:latin typeface="+mn-lt"/>
            </a:rPr>
            <a:t> </a:t>
          </a:r>
          <a:r>
            <a:rPr lang="en-US" sz="1200" b="1" i="0" u="none" strike="noStrike">
              <a:solidFill>
                <a:schemeClr val="accent5"/>
              </a:solidFill>
              <a:latin typeface="+mn-lt"/>
            </a:rPr>
            <a:t>ANUAL )</a:t>
          </a:r>
        </a:p>
      </xdr:txBody>
    </xdr:sp>
    <xdr:clientData/>
  </xdr:twoCellAnchor>
  <xdr:twoCellAnchor>
    <xdr:from>
      <xdr:col>9</xdr:col>
      <xdr:colOff>513184</xdr:colOff>
      <xdr:row>7</xdr:row>
      <xdr:rowOff>163278</xdr:rowOff>
    </xdr:from>
    <xdr:to>
      <xdr:col>11</xdr:col>
      <xdr:colOff>186611</xdr:colOff>
      <xdr:row>9</xdr:row>
      <xdr:rowOff>38871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5971592" y="1469564"/>
          <a:ext cx="886407" cy="248817"/>
        </a:xfrm>
        <a:prstGeom prst="ellipse">
          <a:avLst/>
        </a:prstGeom>
        <a:solidFill>
          <a:schemeClr val="accent5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x12</a:t>
          </a:r>
        </a:p>
      </xdr:txBody>
    </xdr:sp>
    <xdr:clientData/>
  </xdr:twoCellAnchor>
  <xdr:twoCellAnchor>
    <xdr:from>
      <xdr:col>14</xdr:col>
      <xdr:colOff>461879</xdr:colOff>
      <xdr:row>16</xdr:row>
      <xdr:rowOff>71548</xdr:rowOff>
    </xdr:from>
    <xdr:to>
      <xdr:col>19</xdr:col>
      <xdr:colOff>15551</xdr:colOff>
      <xdr:row>18</xdr:row>
      <xdr:rowOff>91765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/>
      </xdr:nvSpPr>
      <xdr:spPr>
        <a:xfrm>
          <a:off x="8952736" y="3057344"/>
          <a:ext cx="2586121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Avaliação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dos Clientes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426110</xdr:colOff>
      <xdr:row>16</xdr:row>
      <xdr:rowOff>177292</xdr:rowOff>
    </xdr:from>
    <xdr:to>
      <xdr:col>14</xdr:col>
      <xdr:colOff>429208</xdr:colOff>
      <xdr:row>19</xdr:row>
      <xdr:rowOff>32668</xdr:rowOff>
    </xdr:to>
    <xdr:cxnSp macro="">
      <xdr:nvCxnSpPr>
        <xdr:cNvPr id="71" name="Conector reto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/>
      </xdr:nvCxnSpPr>
      <xdr:spPr>
        <a:xfrm>
          <a:off x="8916967" y="3163088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482097</xdr:colOff>
      <xdr:row>17</xdr:row>
      <xdr:rowOff>107316</xdr:rowOff>
    </xdr:from>
    <xdr:to>
      <xdr:col>18</xdr:col>
      <xdr:colOff>32658</xdr:colOff>
      <xdr:row>19</xdr:row>
      <xdr:rowOff>127532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8972954" y="3279724"/>
          <a:ext cx="1976520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 i="0" u="none" strike="noStrike">
              <a:solidFill>
                <a:schemeClr val="accent5"/>
              </a:solidFill>
              <a:latin typeface="+mn-lt"/>
            </a:rPr>
            <a:t>pergunta do site</a:t>
          </a:r>
        </a:p>
      </xdr:txBody>
    </xdr:sp>
    <xdr:clientData/>
  </xdr:twoCellAnchor>
  <xdr:twoCellAnchor>
    <xdr:from>
      <xdr:col>0</xdr:col>
      <xdr:colOff>550518</xdr:colOff>
      <xdr:row>1</xdr:row>
      <xdr:rowOff>59099</xdr:rowOff>
    </xdr:from>
    <xdr:to>
      <xdr:col>2</xdr:col>
      <xdr:colOff>217714</xdr:colOff>
      <xdr:row>3</xdr:row>
      <xdr:rowOff>79315</xdr:rowOff>
    </xdr:to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 txBox="1"/>
      </xdr:nvSpPr>
      <xdr:spPr>
        <a:xfrm>
          <a:off x="550518" y="245711"/>
          <a:ext cx="880176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1" i="0" u="none" strike="noStrike">
              <a:solidFill>
                <a:schemeClr val="bg1"/>
              </a:solidFill>
              <a:latin typeface="+mn-lt"/>
            </a:rPr>
            <a:t>Filtros</a:t>
          </a:r>
        </a:p>
      </xdr:txBody>
    </xdr:sp>
    <xdr:clientData/>
  </xdr:twoCellAnchor>
  <xdr:twoCellAnchor editAs="oneCell">
    <xdr:from>
      <xdr:col>4</xdr:col>
      <xdr:colOff>118898</xdr:colOff>
      <xdr:row>8</xdr:row>
      <xdr:rowOff>145142</xdr:rowOff>
    </xdr:from>
    <xdr:to>
      <xdr:col>5</xdr:col>
      <xdr:colOff>111122</xdr:colOff>
      <xdr:row>12</xdr:row>
      <xdr:rowOff>41468</xdr:rowOff>
    </xdr:to>
    <xdr:pic>
      <xdr:nvPicPr>
        <xdr:cNvPr id="87" name="Gráfico 86" descr="Grupo de homens com preenchimento sólido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14408" y="1596571"/>
          <a:ext cx="666102" cy="62204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222245</xdr:colOff>
      <xdr:row>1</xdr:row>
      <xdr:rowOff>4530</xdr:rowOff>
    </xdr:from>
    <xdr:to>
      <xdr:col>1</xdr:col>
      <xdr:colOff>54429</xdr:colOff>
      <xdr:row>3</xdr:row>
      <xdr:rowOff>95897</xdr:rowOff>
    </xdr:to>
    <xdr:pic>
      <xdr:nvPicPr>
        <xdr:cNvPr id="89" name="Gráfico 88" descr="Filtro com preenchimento sólido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2245" y="191142"/>
          <a:ext cx="438674" cy="438674"/>
        </a:xfrm>
        <a:prstGeom prst="rect">
          <a:avLst/>
        </a:prstGeom>
      </xdr:spPr>
    </xdr:pic>
    <xdr:clientData/>
  </xdr:twoCellAnchor>
  <xdr:twoCellAnchor>
    <xdr:from>
      <xdr:col>5</xdr:col>
      <xdr:colOff>155510</xdr:colOff>
      <xdr:row>8</xdr:row>
      <xdr:rowOff>64796</xdr:rowOff>
    </xdr:from>
    <xdr:to>
      <xdr:col>7</xdr:col>
      <xdr:colOff>194388</xdr:colOff>
      <xdr:row>12</xdr:row>
      <xdr:rowOff>90714</xdr:rowOff>
    </xdr:to>
    <xdr:sp macro="" textlink="Análise!C12">
      <xdr:nvSpPr>
        <xdr:cNvPr id="4" name="CaixaDe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3524898" y="1516225"/>
          <a:ext cx="1386633" cy="7516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55CDD0-BFED-5D4C-B494-5EF5CEE39418}" type="TxLink">
            <a:rPr lang="en-US" sz="4400" b="1" i="0" u="none" strike="noStrike">
              <a:solidFill>
                <a:schemeClr val="bg1"/>
              </a:solidFill>
              <a:latin typeface="Franklin Gothic Book"/>
            </a:rPr>
            <a:pPr/>
            <a:t>802</a:t>
          </a:fld>
          <a:endParaRPr lang="pt-BR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321492</xdr:colOff>
      <xdr:row>20</xdr:row>
      <xdr:rowOff>30239</xdr:rowOff>
    </xdr:from>
    <xdr:to>
      <xdr:col>13</xdr:col>
      <xdr:colOff>647700</xdr:colOff>
      <xdr:row>38</xdr:row>
      <xdr:rowOff>26949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369882</xdr:colOff>
      <xdr:row>9</xdr:row>
      <xdr:rowOff>56248</xdr:rowOff>
    </xdr:from>
    <xdr:to>
      <xdr:col>10</xdr:col>
      <xdr:colOff>176388</xdr:colOff>
      <xdr:row>12</xdr:row>
      <xdr:rowOff>0</xdr:rowOff>
    </xdr:to>
    <xdr:sp macro="" textlink="Análise!X9">
      <xdr:nvSpPr>
        <xdr:cNvPr id="9" name="CaixaDeText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061826" y="1643748"/>
          <a:ext cx="1817340" cy="4729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520AD19-ED8F-3F42-8217-F72547CFE494}" type="TxLink">
            <a:rPr lang="en-US" sz="3200" b="1" i="0" u="none" strike="noStrike">
              <a:solidFill>
                <a:schemeClr val="accent5"/>
              </a:solidFill>
              <a:latin typeface="Franklin Gothic Book"/>
              <a:ea typeface="+mn-ea"/>
              <a:cs typeface="+mn-cs"/>
            </a:rPr>
            <a:pPr marL="0" indent="0"/>
            <a:t>R$ 26 K</a:t>
          </a:fld>
          <a:endParaRPr lang="pt-BR" sz="3200" b="1" i="0" u="none" strike="noStrike">
            <a:solidFill>
              <a:schemeClr val="accent5"/>
            </a:solidFill>
            <a:latin typeface="Franklin Gothic Book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610875</xdr:colOff>
      <xdr:row>8</xdr:row>
      <xdr:rowOff>168306</xdr:rowOff>
    </xdr:from>
    <xdr:to>
      <xdr:col>14</xdr:col>
      <xdr:colOff>17639</xdr:colOff>
      <xdr:row>11</xdr:row>
      <xdr:rowOff>153874</xdr:rowOff>
    </xdr:to>
    <xdr:sp macro="" textlink="Análise!Y9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7270631" y="1531233"/>
          <a:ext cx="2070667" cy="496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B4D28D3-328D-5B4B-82E7-725B2A502988}" type="TxLink">
            <a:rPr lang="en-US" sz="3200" b="1" i="0" u="none" strike="noStrike">
              <a:solidFill>
                <a:schemeClr val="accent5"/>
              </a:solidFill>
              <a:latin typeface="Franklin Gothic Book"/>
            </a:rPr>
            <a:pPr/>
            <a:t>R$ 318 K</a:t>
          </a:fld>
          <a:endParaRPr lang="pt-BR" sz="3200" b="1">
            <a:solidFill>
              <a:schemeClr val="accent5"/>
            </a:solidFill>
          </a:endParaRPr>
        </a:p>
      </xdr:txBody>
    </xdr:sp>
    <xdr:clientData/>
  </xdr:twoCellAnchor>
  <xdr:twoCellAnchor>
    <xdr:from>
      <xdr:col>14</xdr:col>
      <xdr:colOff>635001</xdr:colOff>
      <xdr:row>4</xdr:row>
      <xdr:rowOff>9339</xdr:rowOff>
    </xdr:from>
    <xdr:to>
      <xdr:col>20</xdr:col>
      <xdr:colOff>438898</xdr:colOff>
      <xdr:row>14</xdr:row>
      <xdr:rowOff>112059</xdr:rowOff>
    </xdr:to>
    <xdr:graphicFrame macro="">
      <xdr:nvGraphicFramePr>
        <xdr:cNvPr id="25" name="Gráfico 17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171027</xdr:colOff>
      <xdr:row>10</xdr:row>
      <xdr:rowOff>18909</xdr:rowOff>
    </xdr:from>
    <xdr:to>
      <xdr:col>23</xdr:col>
      <xdr:colOff>152350</xdr:colOff>
      <xdr:row>11</xdr:row>
      <xdr:rowOff>147941</xdr:rowOff>
    </xdr:to>
    <xdr:sp macro="" textlink="Análise!AH23">
      <xdr:nvSpPr>
        <xdr:cNvPr id="28" name="CaixaDeTexto 18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4931782" y="1776142"/>
          <a:ext cx="652266" cy="304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3E28B3E-1BC3-134D-9525-2783D97AB820}" type="TxLink">
            <a:rPr lang="en-US" sz="1400" b="1" i="0" u="none" strike="noStrike">
              <a:solidFill>
                <a:srgbClr val="372561"/>
              </a:solidFill>
              <a:latin typeface="Franklin Gothic Book"/>
            </a:rPr>
            <a:pPr/>
            <a:t> </a:t>
          </a:fld>
          <a:endParaRPr lang="pt-BR" sz="1400" b="1">
            <a:solidFill>
              <a:srgbClr val="372561"/>
            </a:solidFill>
          </a:endParaRPr>
        </a:p>
      </xdr:txBody>
    </xdr:sp>
    <xdr:clientData/>
  </xdr:twoCellAnchor>
  <xdr:twoCellAnchor>
    <xdr:from>
      <xdr:col>21</xdr:col>
      <xdr:colOff>348452</xdr:colOff>
      <xdr:row>10</xdr:row>
      <xdr:rowOff>9571</xdr:rowOff>
    </xdr:from>
    <xdr:to>
      <xdr:col>22</xdr:col>
      <xdr:colOff>320438</xdr:colOff>
      <xdr:row>11</xdr:row>
      <xdr:rowOff>157279</xdr:rowOff>
    </xdr:to>
    <xdr:sp macro="" textlink="">
      <xdr:nvSpPr>
        <xdr:cNvPr id="27" name="CaixaDeTexto 19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14438263" y="1766804"/>
          <a:ext cx="642930" cy="3234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0">
              <a:solidFill>
                <a:srgbClr val="372561"/>
              </a:solidFill>
            </a:rPr>
            <a:t>Total:</a:t>
          </a:r>
        </a:p>
      </xdr:txBody>
    </xdr:sp>
    <xdr:clientData/>
  </xdr:twoCellAnchor>
  <xdr:twoCellAnchor editAs="oneCell">
    <xdr:from>
      <xdr:col>0</xdr:col>
      <xdr:colOff>381000</xdr:colOff>
      <xdr:row>4</xdr:row>
      <xdr:rowOff>8850</xdr:rowOff>
    </xdr:from>
    <xdr:to>
      <xdr:col>3</xdr:col>
      <xdr:colOff>180836</xdr:colOff>
      <xdr:row>11</xdr:row>
      <xdr:rowOff>2228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ão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" y="753917"/>
              <a:ext cx="1831836" cy="1278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393786</xdr:colOff>
      <xdr:row>11</xdr:row>
      <xdr:rowOff>31686</xdr:rowOff>
    </xdr:from>
    <xdr:to>
      <xdr:col>3</xdr:col>
      <xdr:colOff>189994</xdr:colOff>
      <xdr:row>19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ssinatura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natu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86" y="2080620"/>
              <a:ext cx="1828208" cy="15177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398709</xdr:colOff>
      <xdr:row>19</xdr:row>
      <xdr:rowOff>112890</xdr:rowOff>
    </xdr:from>
    <xdr:to>
      <xdr:col>3</xdr:col>
      <xdr:colOff>195478</xdr:colOff>
      <xdr:row>28</xdr:row>
      <xdr:rowOff>81280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Faixa etária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ixa etá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709" y="3651957"/>
              <a:ext cx="1828769" cy="15296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408216</xdr:colOff>
      <xdr:row>28</xdr:row>
      <xdr:rowOff>32158</xdr:rowOff>
    </xdr:from>
    <xdr:to>
      <xdr:col>3</xdr:col>
      <xdr:colOff>205016</xdr:colOff>
      <xdr:row>34</xdr:row>
      <xdr:rowOff>2228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Gênero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ê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216" y="5247625"/>
              <a:ext cx="1828800" cy="10685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440266</xdr:colOff>
      <xdr:row>5</xdr:row>
      <xdr:rowOff>118534</xdr:rowOff>
    </xdr:from>
    <xdr:to>
      <xdr:col>24</xdr:col>
      <xdr:colOff>438452</xdr:colOff>
      <xdr:row>15</xdr:row>
      <xdr:rowOff>5644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ACA7066E-81FC-A341-B1C5-6250DDAE6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319497</xdr:colOff>
      <xdr:row>14</xdr:row>
      <xdr:rowOff>169822</xdr:rowOff>
    </xdr:from>
    <xdr:to>
      <xdr:col>14</xdr:col>
      <xdr:colOff>103837</xdr:colOff>
      <xdr:row>21</xdr:row>
      <xdr:rowOff>104578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E831DC3B-5FF1-524F-9A2B-1A809FD08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194733</xdr:colOff>
      <xdr:row>21</xdr:row>
      <xdr:rowOff>152400</xdr:rowOff>
    </xdr:from>
    <xdr:to>
      <xdr:col>21</xdr:col>
      <xdr:colOff>118533</xdr:colOff>
      <xdr:row>35</xdr:row>
      <xdr:rowOff>160867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8F144756-1FD6-5C49-A3C9-AAA1EF368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406399</xdr:colOff>
      <xdr:row>20</xdr:row>
      <xdr:rowOff>4232</xdr:rowOff>
    </xdr:from>
    <xdr:to>
      <xdr:col>26</xdr:col>
      <xdr:colOff>372532</xdr:colOff>
      <xdr:row>37</xdr:row>
      <xdr:rowOff>33865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0" name="Gráfico 39">
              <a:extLst>
                <a:ext uri="{FF2B5EF4-FFF2-40B4-BE49-F238E27FC236}">
                  <a16:creationId xmlns:a16="http://schemas.microsoft.com/office/drawing/2014/main" id="{DF558CCD-5977-F542-AD82-9A12972C1F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41499" y="3560232"/>
              <a:ext cx="3331633" cy="30522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Clara Ferreira Caldeira" refreshedDate="46100.310576388889" createdVersion="8" refreshedVersion="8" minRefreshableVersion="3" recordCount="802" xr:uid="{06CAF6E9-6B93-114B-A78B-C82E901BA2DE}">
  <cacheSource type="worksheet">
    <worksheetSource name=" tBase"/>
  </cacheSource>
  <cacheFields count="12">
    <cacheField name="CPF" numFmtId="164">
      <sharedItems containsSemiMixedTypes="0" containsString="0" containsNumber="1" containsInteger="1" minValue="22251128276" maxValue="99687496489"/>
    </cacheField>
    <cacheField name="Nome" numFmtId="0">
      <sharedItems/>
    </cacheField>
    <cacheField name="Gênero" numFmtId="0">
      <sharedItems count="2">
        <s v="Feminino"/>
        <s v="Masculino"/>
      </sharedItems>
    </cacheField>
    <cacheField name="Nivel de Estudos" numFmtId="0">
      <sharedItems count="5">
        <s v="Doutorado"/>
        <s v="Ensino Médio"/>
        <s v="Mestrado"/>
        <s v="Pós-Graduação"/>
        <s v="Superior"/>
      </sharedItems>
    </cacheField>
    <cacheField name="Interesse/Hobbie" numFmtId="0">
      <sharedItems/>
    </cacheField>
    <cacheField name="Região" numFmtId="0">
      <sharedItems count="3">
        <s v="Rio Grande do Sul"/>
        <s v="Paraná"/>
        <s v="Santa Catarina"/>
      </sharedItems>
    </cacheField>
    <cacheField name="Data Nascimento" numFmtId="14">
      <sharedItems containsSemiMixedTypes="0" containsNonDate="0" containsDate="1" containsString="0" minDate="1955-01-01T00:00:00" maxDate="1999-12-17T00:00:00"/>
    </cacheField>
    <cacheField name="Avaliação" numFmtId="14">
      <sharedItems count="8">
        <s v="Produto Excelente"/>
        <s v="Atendimento Bom"/>
        <s v="Atraso na Entrega"/>
        <s v="Suporte Ruim"/>
        <s v="Boa qualidade"/>
        <s v="Faltando Item"/>
        <s v="Produto com defeito"/>
        <s v="Embalagem Danificada"/>
      </sharedItems>
    </cacheField>
    <cacheField name="Assinatura" numFmtId="0">
      <sharedItems count="4">
        <s v="Magic Box"/>
        <s v="Premium X"/>
        <s v="Safe Watch"/>
        <s v="Deluxe Box"/>
      </sharedItems>
    </cacheField>
    <cacheField name="Mesalidades" numFmtId="165">
      <sharedItems containsSemiMixedTypes="0" containsString="0" containsNumber="1" minValue="9.9" maxValue="79.900000000000006"/>
    </cacheField>
    <cacheField name="Idade" numFmtId="0">
      <sharedItems containsSemiMixedTypes="0" containsString="0" containsNumber="1" containsInteger="1" minValue="26" maxValue="71"/>
    </cacheField>
    <cacheField name="Faixa etária" numFmtId="0">
      <sharedItems count="4">
        <s v="54-70"/>
        <s v="35 - 44"/>
        <s v="24-34"/>
        <s v="44 - 54"/>
      </sharedItems>
    </cacheField>
  </cacheFields>
  <extLst>
    <ext xmlns:x14="http://schemas.microsoft.com/office/spreadsheetml/2009/9/main" uri="{725AE2AE-9491-48be-B2B4-4EB974FC3084}">
      <x14:pivotCacheDefinition pivotCacheId="10347152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2">
  <r>
    <n v="43308815311"/>
    <s v="Amanda Oliveira"/>
    <x v="0"/>
    <x v="0"/>
    <s v="Negócios"/>
    <x v="0"/>
    <d v="1961-08-24T00:00:00"/>
    <x v="0"/>
    <x v="0"/>
    <n v="9.9"/>
    <n v="64"/>
    <x v="0"/>
  </r>
  <r>
    <n v="62050521447"/>
    <s v="Amanda Oliveira"/>
    <x v="0"/>
    <x v="0"/>
    <s v="Negócios"/>
    <x v="0"/>
    <d v="1984-02-06T00:00:00"/>
    <x v="1"/>
    <x v="0"/>
    <n v="9.9"/>
    <n v="42"/>
    <x v="1"/>
  </r>
  <r>
    <n v="38732340622"/>
    <s v="Carolina Gomes Rodrigues"/>
    <x v="0"/>
    <x v="0"/>
    <s v="Negócios"/>
    <x v="0"/>
    <d v="1992-05-17T00:00:00"/>
    <x v="2"/>
    <x v="0"/>
    <n v="9.9"/>
    <n v="33"/>
    <x v="2"/>
  </r>
  <r>
    <n v="75640893297"/>
    <s v="Carolina Gomes Rodrigues"/>
    <x v="0"/>
    <x v="0"/>
    <s v="Negócios"/>
    <x v="0"/>
    <d v="1968-11-12T00:00:00"/>
    <x v="2"/>
    <x v="0"/>
    <n v="9.9"/>
    <n v="57"/>
    <x v="0"/>
  </r>
  <r>
    <n v="31519057095"/>
    <s v="Guadalupe Munoz"/>
    <x v="0"/>
    <x v="0"/>
    <s v="Negócios"/>
    <x v="0"/>
    <d v="1970-06-09T00:00:00"/>
    <x v="3"/>
    <x v="0"/>
    <n v="9.9"/>
    <n v="55"/>
    <x v="0"/>
  </r>
  <r>
    <n v="66053578513"/>
    <s v="Guadalupe Munoz"/>
    <x v="0"/>
    <x v="0"/>
    <s v="Negócios"/>
    <x v="0"/>
    <d v="1993-12-31T00:00:00"/>
    <x v="0"/>
    <x v="0"/>
    <n v="9.9"/>
    <n v="32"/>
    <x v="2"/>
  </r>
  <r>
    <n v="38797538027"/>
    <s v="Julian Russell"/>
    <x v="0"/>
    <x v="0"/>
    <s v="Negócios"/>
    <x v="0"/>
    <d v="1961-11-11T00:00:00"/>
    <x v="1"/>
    <x v="0"/>
    <n v="9.9"/>
    <n v="64"/>
    <x v="0"/>
  </r>
  <r>
    <n v="99052709620"/>
    <s v="Julian Russell"/>
    <x v="0"/>
    <x v="0"/>
    <s v="Negócios"/>
    <x v="0"/>
    <d v="1993-08-11T00:00:00"/>
    <x v="1"/>
    <x v="0"/>
    <n v="9.9"/>
    <n v="32"/>
    <x v="2"/>
  </r>
  <r>
    <n v="56688702646"/>
    <s v="Laura Ribeiro"/>
    <x v="0"/>
    <x v="0"/>
    <s v="Política"/>
    <x v="1"/>
    <d v="1964-01-07T00:00:00"/>
    <x v="2"/>
    <x v="1"/>
    <n v="79.900000000000006"/>
    <n v="62"/>
    <x v="0"/>
  </r>
  <r>
    <n v="35423777466"/>
    <s v="Renata Pereira"/>
    <x v="0"/>
    <x v="0"/>
    <s v="Negócios"/>
    <x v="0"/>
    <d v="1981-10-30T00:00:00"/>
    <x v="0"/>
    <x v="0"/>
    <n v="9.9"/>
    <n v="44"/>
    <x v="3"/>
  </r>
  <r>
    <n v="49561602728"/>
    <s v="Renata Pereira"/>
    <x v="0"/>
    <x v="0"/>
    <s v="Negócios"/>
    <x v="0"/>
    <d v="1965-01-18T00:00:00"/>
    <x v="1"/>
    <x v="0"/>
    <n v="9.9"/>
    <n v="61"/>
    <x v="0"/>
  </r>
  <r>
    <n v="36836051756"/>
    <s v="Rita Pereira"/>
    <x v="0"/>
    <x v="0"/>
    <s v="Negócios"/>
    <x v="0"/>
    <d v="1961-10-03T00:00:00"/>
    <x v="4"/>
    <x v="0"/>
    <n v="9.9"/>
    <n v="64"/>
    <x v="0"/>
  </r>
  <r>
    <n v="78770918998"/>
    <s v="Rita Pereira"/>
    <x v="0"/>
    <x v="0"/>
    <s v="Negócios"/>
    <x v="0"/>
    <d v="1989-10-14T00:00:00"/>
    <x v="0"/>
    <x v="0"/>
    <n v="9.9"/>
    <n v="36"/>
    <x v="1"/>
  </r>
  <r>
    <n v="96730763444"/>
    <s v="Sandra Silva"/>
    <x v="0"/>
    <x v="0"/>
    <s v="Economia"/>
    <x v="1"/>
    <d v="1976-06-06T00:00:00"/>
    <x v="0"/>
    <x v="0"/>
    <n v="9.9"/>
    <n v="49"/>
    <x v="3"/>
  </r>
  <r>
    <n v="23811464512"/>
    <s v="Sofia Velez"/>
    <x v="0"/>
    <x v="0"/>
    <s v="Finanças"/>
    <x v="0"/>
    <d v="1979-08-30T00:00:00"/>
    <x v="0"/>
    <x v="2"/>
    <n v="29.9"/>
    <n v="46"/>
    <x v="3"/>
  </r>
  <r>
    <n v="62673271781"/>
    <s v="Sofia Velez"/>
    <x v="0"/>
    <x v="0"/>
    <s v="Finanças"/>
    <x v="0"/>
    <d v="1992-04-09T00:00:00"/>
    <x v="2"/>
    <x v="2"/>
    <n v="29.9"/>
    <n v="33"/>
    <x v="2"/>
  </r>
  <r>
    <n v="58546694716"/>
    <s v="Bernardo Oliveira"/>
    <x v="1"/>
    <x v="0"/>
    <s v="Economia"/>
    <x v="1"/>
    <d v="1981-01-27T00:00:00"/>
    <x v="0"/>
    <x v="3"/>
    <n v="35.9"/>
    <n v="45"/>
    <x v="3"/>
  </r>
  <r>
    <n v="41107442085"/>
    <s v="Diego Ramirez"/>
    <x v="1"/>
    <x v="0"/>
    <s v="Negócios"/>
    <x v="0"/>
    <d v="1963-05-08T00:00:00"/>
    <x v="5"/>
    <x v="0"/>
    <n v="9.9"/>
    <n v="62"/>
    <x v="0"/>
  </r>
  <r>
    <n v="65490123014"/>
    <s v="Diego Ramirez"/>
    <x v="1"/>
    <x v="0"/>
    <s v="Negócios"/>
    <x v="0"/>
    <d v="1981-08-12T00:00:00"/>
    <x v="1"/>
    <x v="0"/>
    <n v="9.9"/>
    <n v="44"/>
    <x v="3"/>
  </r>
  <r>
    <n v="72103743000"/>
    <s v="Francisco Chavez"/>
    <x v="1"/>
    <x v="0"/>
    <s v="Economia"/>
    <x v="0"/>
    <d v="1977-04-21T00:00:00"/>
    <x v="1"/>
    <x v="3"/>
    <n v="35.9"/>
    <n v="48"/>
    <x v="3"/>
  </r>
  <r>
    <n v="56167280623"/>
    <s v="Francisco Morales"/>
    <x v="1"/>
    <x v="0"/>
    <s v="Negócios"/>
    <x v="1"/>
    <d v="1993-04-20T00:00:00"/>
    <x v="0"/>
    <x v="3"/>
    <n v="35.9"/>
    <n v="32"/>
    <x v="2"/>
  </r>
  <r>
    <n v="72653571309"/>
    <s v="Harper Reed"/>
    <x v="1"/>
    <x v="0"/>
    <s v="Economia"/>
    <x v="1"/>
    <d v="1960-03-27T00:00:00"/>
    <x v="1"/>
    <x v="3"/>
    <n v="35.9"/>
    <n v="66"/>
    <x v="0"/>
  </r>
  <r>
    <n v="24787984175"/>
    <s v="Henry Adams"/>
    <x v="1"/>
    <x v="0"/>
    <s v="Finanças"/>
    <x v="0"/>
    <d v="1995-06-17T00:00:00"/>
    <x v="5"/>
    <x v="2"/>
    <n v="29.9"/>
    <n v="30"/>
    <x v="2"/>
  </r>
  <r>
    <n v="34970941895"/>
    <s v="Henry Adams"/>
    <x v="1"/>
    <x v="0"/>
    <s v="Finanças"/>
    <x v="0"/>
    <d v="1970-06-02T00:00:00"/>
    <x v="2"/>
    <x v="2"/>
    <n v="29.9"/>
    <n v="55"/>
    <x v="0"/>
  </r>
  <r>
    <n v="55899436458"/>
    <s v="Rafael Almeida"/>
    <x v="1"/>
    <x v="0"/>
    <s v="Negócios"/>
    <x v="2"/>
    <d v="1966-10-29T00:00:00"/>
    <x v="0"/>
    <x v="1"/>
    <n v="79.900000000000006"/>
    <n v="59"/>
    <x v="0"/>
  </r>
  <r>
    <n v="47174082747"/>
    <s v="Rafael Rodrigues"/>
    <x v="1"/>
    <x v="0"/>
    <s v="Finanças"/>
    <x v="0"/>
    <d v="1992-11-02T00:00:00"/>
    <x v="0"/>
    <x v="2"/>
    <n v="29.9"/>
    <n v="33"/>
    <x v="2"/>
  </r>
  <r>
    <n v="74394995473"/>
    <s v="Rafael Rodrigues"/>
    <x v="1"/>
    <x v="0"/>
    <s v="Finanças"/>
    <x v="0"/>
    <d v="1984-03-10T00:00:00"/>
    <x v="6"/>
    <x v="2"/>
    <n v="29.9"/>
    <n v="42"/>
    <x v="1"/>
  </r>
  <r>
    <n v="34275755986"/>
    <s v="Alejandra Herrera"/>
    <x v="0"/>
    <x v="1"/>
    <s v="Economia"/>
    <x v="0"/>
    <d v="1977-05-28T00:00:00"/>
    <x v="0"/>
    <x v="3"/>
    <n v="35.9"/>
    <n v="48"/>
    <x v="3"/>
  </r>
  <r>
    <n v="99005827580"/>
    <s v="Alejandra Herrera"/>
    <x v="0"/>
    <x v="1"/>
    <s v="Economia"/>
    <x v="0"/>
    <d v="1970-10-29T00:00:00"/>
    <x v="1"/>
    <x v="3"/>
    <n v="35.9"/>
    <n v="55"/>
    <x v="0"/>
  </r>
  <r>
    <n v="41968341445"/>
    <s v="Alejandra Ortega"/>
    <x v="0"/>
    <x v="1"/>
    <s v="Negócios"/>
    <x v="0"/>
    <d v="1967-07-07T00:00:00"/>
    <x v="1"/>
    <x v="3"/>
    <n v="35.9"/>
    <n v="58"/>
    <x v="0"/>
  </r>
  <r>
    <n v="69009325528"/>
    <s v="Alejandra Ortega"/>
    <x v="0"/>
    <x v="1"/>
    <s v="Negócios"/>
    <x v="0"/>
    <d v="1983-06-03T00:00:00"/>
    <x v="2"/>
    <x v="3"/>
    <n v="35.9"/>
    <n v="42"/>
    <x v="1"/>
  </r>
  <r>
    <n v="34327422259"/>
    <s v="Alejandra Valdez"/>
    <x v="0"/>
    <x v="1"/>
    <s v="Agronegócio"/>
    <x v="0"/>
    <d v="1982-10-23T00:00:00"/>
    <x v="2"/>
    <x v="0"/>
    <n v="9.9"/>
    <n v="43"/>
    <x v="1"/>
  </r>
  <r>
    <n v="85486291852"/>
    <s v="Alejandra Valdez"/>
    <x v="0"/>
    <x v="1"/>
    <s v="Agronegócio"/>
    <x v="0"/>
    <d v="1975-04-04T00:00:00"/>
    <x v="1"/>
    <x v="0"/>
    <n v="9.9"/>
    <n v="50"/>
    <x v="3"/>
  </r>
  <r>
    <n v="50376304529"/>
    <s v="Amanda Costa Almeida"/>
    <x v="0"/>
    <x v="1"/>
    <s v="Negócios"/>
    <x v="1"/>
    <d v="1955-03-10T00:00:00"/>
    <x v="5"/>
    <x v="0"/>
    <n v="9.9"/>
    <n v="71"/>
    <x v="0"/>
  </r>
  <r>
    <n v="96498559182"/>
    <s v="Amanda Costa Almeida"/>
    <x v="0"/>
    <x v="1"/>
    <s v="Negócios"/>
    <x v="1"/>
    <d v="1987-05-26T00:00:00"/>
    <x v="1"/>
    <x v="0"/>
    <n v="9.9"/>
    <n v="38"/>
    <x v="1"/>
  </r>
  <r>
    <n v="28200818797"/>
    <s v="Amelia Garcia"/>
    <x v="0"/>
    <x v="1"/>
    <s v="Esportes"/>
    <x v="2"/>
    <d v="1979-03-08T00:00:00"/>
    <x v="1"/>
    <x v="2"/>
    <n v="29.9"/>
    <n v="47"/>
    <x v="3"/>
  </r>
  <r>
    <n v="78732548500"/>
    <s v="Amelia Garcia"/>
    <x v="0"/>
    <x v="1"/>
    <s v="Esportes"/>
    <x v="2"/>
    <d v="1991-07-30T00:00:00"/>
    <x v="5"/>
    <x v="2"/>
    <n v="29.9"/>
    <n v="34"/>
    <x v="2"/>
  </r>
  <r>
    <n v="36398957082"/>
    <s v="Ana Karen Pacheco"/>
    <x v="0"/>
    <x v="1"/>
    <s v="Negócios"/>
    <x v="1"/>
    <d v="1980-05-07T00:00:00"/>
    <x v="0"/>
    <x v="0"/>
    <n v="9.9"/>
    <n v="45"/>
    <x v="3"/>
  </r>
  <r>
    <n v="22319593464"/>
    <s v="Ava Davis"/>
    <x v="0"/>
    <x v="1"/>
    <s v="Economia"/>
    <x v="1"/>
    <d v="1962-06-05T00:00:00"/>
    <x v="0"/>
    <x v="3"/>
    <n v="35.9"/>
    <n v="63"/>
    <x v="0"/>
  </r>
  <r>
    <n v="96207993803"/>
    <s v="Ava Davis"/>
    <x v="0"/>
    <x v="1"/>
    <s v="Economia"/>
    <x v="0"/>
    <d v="1987-07-13T00:00:00"/>
    <x v="2"/>
    <x v="3"/>
    <n v="35.9"/>
    <n v="38"/>
    <x v="1"/>
  </r>
  <r>
    <n v="38262075932"/>
    <s v="Beatriz Delgado"/>
    <x v="0"/>
    <x v="1"/>
    <s v="Esportes"/>
    <x v="2"/>
    <d v="1974-07-21T00:00:00"/>
    <x v="0"/>
    <x v="0"/>
    <n v="9.9"/>
    <n v="51"/>
    <x v="3"/>
  </r>
  <r>
    <n v="57093446389"/>
    <s v="Beatriz Delgado"/>
    <x v="0"/>
    <x v="1"/>
    <s v="Esportes"/>
    <x v="2"/>
    <d v="1980-03-11T00:00:00"/>
    <x v="6"/>
    <x v="0"/>
    <n v="9.9"/>
    <n v="46"/>
    <x v="3"/>
  </r>
  <r>
    <n v="46800162766"/>
    <s v="Camila Oliveira"/>
    <x v="0"/>
    <x v="1"/>
    <s v="Finanças"/>
    <x v="0"/>
    <d v="1981-05-02T00:00:00"/>
    <x v="2"/>
    <x v="2"/>
    <n v="29.9"/>
    <n v="44"/>
    <x v="3"/>
  </r>
  <r>
    <n v="93087822464"/>
    <s v="Camila Oliveira"/>
    <x v="0"/>
    <x v="1"/>
    <s v="Finanças"/>
    <x v="0"/>
    <d v="1981-06-03T00:00:00"/>
    <x v="1"/>
    <x v="2"/>
    <n v="29.9"/>
    <n v="44"/>
    <x v="3"/>
  </r>
  <r>
    <n v="44517150220"/>
    <s v="Carolina Gomes"/>
    <x v="0"/>
    <x v="1"/>
    <s v="Negócios"/>
    <x v="1"/>
    <d v="1990-05-01T00:00:00"/>
    <x v="6"/>
    <x v="1"/>
    <n v="79.900000000000006"/>
    <n v="35"/>
    <x v="1"/>
  </r>
  <r>
    <n v="50356441737"/>
    <s v="Carolina Gomes"/>
    <x v="0"/>
    <x v="1"/>
    <s v="Negócios"/>
    <x v="1"/>
    <d v="1999-12-16T00:00:00"/>
    <x v="2"/>
    <x v="1"/>
    <n v="79.900000000000006"/>
    <n v="26"/>
    <x v="2"/>
  </r>
  <r>
    <n v="43865627349"/>
    <s v="Carolina Lima"/>
    <x v="0"/>
    <x v="1"/>
    <s v="Negócios"/>
    <x v="1"/>
    <d v="1981-10-16T00:00:00"/>
    <x v="0"/>
    <x v="0"/>
    <n v="9.9"/>
    <n v="44"/>
    <x v="3"/>
  </r>
  <r>
    <n v="59016888278"/>
    <s v="Carolina Lima"/>
    <x v="0"/>
    <x v="1"/>
    <s v="Negócios"/>
    <x v="1"/>
    <d v="1985-03-20T00:00:00"/>
    <x v="1"/>
    <x v="0"/>
    <n v="9.9"/>
    <n v="41"/>
    <x v="1"/>
  </r>
  <r>
    <n v="43809437545"/>
    <s v="Claire Long"/>
    <x v="0"/>
    <x v="1"/>
    <s v="Economia"/>
    <x v="0"/>
    <d v="1973-03-24T00:00:00"/>
    <x v="1"/>
    <x v="3"/>
    <n v="35.9"/>
    <n v="53"/>
    <x v="3"/>
  </r>
  <r>
    <n v="73629904035"/>
    <s v="Claire Long"/>
    <x v="0"/>
    <x v="1"/>
    <s v="Economia"/>
    <x v="0"/>
    <d v="1983-06-23T00:00:00"/>
    <x v="0"/>
    <x v="3"/>
    <n v="35.9"/>
    <n v="42"/>
    <x v="1"/>
  </r>
  <r>
    <n v="42981421778"/>
    <s v="Connor Wood"/>
    <x v="0"/>
    <x v="1"/>
    <s v="Finanças"/>
    <x v="1"/>
    <d v="1989-02-24T00:00:00"/>
    <x v="0"/>
    <x v="2"/>
    <n v="29.9"/>
    <n v="37"/>
    <x v="1"/>
  </r>
  <r>
    <n v="81525212234"/>
    <s v="Connor Wood"/>
    <x v="0"/>
    <x v="1"/>
    <s v="Finanças"/>
    <x v="1"/>
    <d v="1985-09-21T00:00:00"/>
    <x v="0"/>
    <x v="2"/>
    <n v="29.9"/>
    <n v="40"/>
    <x v="1"/>
  </r>
  <r>
    <n v="23305930384"/>
    <s v="Diana Lopez"/>
    <x v="0"/>
    <x v="1"/>
    <s v="Negócios"/>
    <x v="1"/>
    <d v="1959-11-30T00:00:00"/>
    <x v="7"/>
    <x v="1"/>
    <n v="79.900000000000006"/>
    <n v="66"/>
    <x v="0"/>
  </r>
  <r>
    <n v="68759209105"/>
    <s v="Diana Lopez"/>
    <x v="0"/>
    <x v="1"/>
    <s v="Negócios"/>
    <x v="1"/>
    <d v="1989-04-10T00:00:00"/>
    <x v="5"/>
    <x v="1"/>
    <n v="79.900000000000006"/>
    <n v="36"/>
    <x v="1"/>
  </r>
  <r>
    <n v="23495363597"/>
    <s v="Eliza Hayes"/>
    <x v="0"/>
    <x v="1"/>
    <s v="Esportes"/>
    <x v="0"/>
    <d v="1972-11-07T00:00:00"/>
    <x v="1"/>
    <x v="0"/>
    <n v="9.9"/>
    <n v="53"/>
    <x v="3"/>
  </r>
  <r>
    <n v="49514272789"/>
    <s v="Eliza Hayes"/>
    <x v="0"/>
    <x v="1"/>
    <s v="Esportes"/>
    <x v="0"/>
    <d v="1975-08-20T00:00:00"/>
    <x v="1"/>
    <x v="0"/>
    <n v="9.9"/>
    <n v="50"/>
    <x v="3"/>
  </r>
  <r>
    <n v="39816227977"/>
    <s v="Eva Foster"/>
    <x v="0"/>
    <x v="1"/>
    <s v="Economia"/>
    <x v="0"/>
    <d v="1974-05-13T00:00:00"/>
    <x v="5"/>
    <x v="3"/>
    <n v="35.9"/>
    <n v="51"/>
    <x v="3"/>
  </r>
  <r>
    <n v="96142770610"/>
    <s v="Eva Foster"/>
    <x v="0"/>
    <x v="1"/>
    <s v="Economia"/>
    <x v="0"/>
    <d v="1966-04-20T00:00:00"/>
    <x v="5"/>
    <x v="3"/>
    <n v="35.9"/>
    <n v="59"/>
    <x v="0"/>
  </r>
  <r>
    <n v="35105004714"/>
    <s v="Eva Powell"/>
    <x v="0"/>
    <x v="1"/>
    <s v="Economia"/>
    <x v="2"/>
    <d v="1991-01-18T00:00:00"/>
    <x v="1"/>
    <x v="2"/>
    <n v="29.9"/>
    <n v="35"/>
    <x v="1"/>
  </r>
  <r>
    <n v="49017327941"/>
    <s v="Eva Powell"/>
    <x v="0"/>
    <x v="1"/>
    <s v="Economia"/>
    <x v="2"/>
    <d v="1973-10-16T00:00:00"/>
    <x v="0"/>
    <x v="2"/>
    <n v="29.9"/>
    <n v="52"/>
    <x v="3"/>
  </r>
  <r>
    <n v="29806175798"/>
    <s v="Fabiana Oliveira"/>
    <x v="0"/>
    <x v="1"/>
    <s v="Negócios"/>
    <x v="0"/>
    <d v="1974-03-08T00:00:00"/>
    <x v="0"/>
    <x v="1"/>
    <n v="79.900000000000006"/>
    <n v="52"/>
    <x v="3"/>
  </r>
  <r>
    <n v="97867342326"/>
    <s v="Fabiana Oliveira"/>
    <x v="0"/>
    <x v="1"/>
    <s v="Negócios"/>
    <x v="0"/>
    <d v="1989-12-30T00:00:00"/>
    <x v="0"/>
    <x v="1"/>
    <n v="79.900000000000006"/>
    <n v="36"/>
    <x v="1"/>
  </r>
  <r>
    <n v="52272478127"/>
    <s v="Giovanna Oliveira Martins"/>
    <x v="0"/>
    <x v="1"/>
    <s v="Economia"/>
    <x v="1"/>
    <d v="1988-10-01T00:00:00"/>
    <x v="2"/>
    <x v="2"/>
    <n v="29.9"/>
    <n v="37"/>
    <x v="1"/>
  </r>
  <r>
    <n v="64406878055"/>
    <s v="Giovanna Oliveira Martins"/>
    <x v="0"/>
    <x v="1"/>
    <s v="Economia"/>
    <x v="1"/>
    <d v="1983-05-18T00:00:00"/>
    <x v="0"/>
    <x v="2"/>
    <n v="29.9"/>
    <n v="42"/>
    <x v="1"/>
  </r>
  <r>
    <n v="35465159917"/>
    <s v="Isabella Gonzalez"/>
    <x v="0"/>
    <x v="1"/>
    <s v="Economia"/>
    <x v="0"/>
    <d v="1987-05-19T00:00:00"/>
    <x v="0"/>
    <x v="0"/>
    <n v="9.9"/>
    <n v="38"/>
    <x v="1"/>
  </r>
  <r>
    <n v="82616416182"/>
    <s v="Isabella Gonzalez"/>
    <x v="0"/>
    <x v="1"/>
    <s v="Economia"/>
    <x v="0"/>
    <d v="1963-04-26T00:00:00"/>
    <x v="1"/>
    <x v="0"/>
    <n v="9.9"/>
    <n v="62"/>
    <x v="0"/>
  </r>
  <r>
    <n v="54217073384"/>
    <s v="Júlia Martins"/>
    <x v="0"/>
    <x v="1"/>
    <s v="Finanças"/>
    <x v="1"/>
    <d v="1968-05-18T00:00:00"/>
    <x v="5"/>
    <x v="2"/>
    <n v="29.9"/>
    <n v="57"/>
    <x v="0"/>
  </r>
  <r>
    <n v="78801671422"/>
    <s v="Júlia Martins"/>
    <x v="0"/>
    <x v="1"/>
    <s v="Finanças"/>
    <x v="1"/>
    <d v="1984-05-02T00:00:00"/>
    <x v="0"/>
    <x v="2"/>
    <n v="29.9"/>
    <n v="41"/>
    <x v="1"/>
  </r>
  <r>
    <n v="53085921994"/>
    <s v="Juliana Santos"/>
    <x v="0"/>
    <x v="1"/>
    <s v="Política"/>
    <x v="1"/>
    <d v="1992-10-12T00:00:00"/>
    <x v="3"/>
    <x v="1"/>
    <n v="79.900000000000006"/>
    <n v="33"/>
    <x v="2"/>
  </r>
  <r>
    <n v="53226935462"/>
    <s v="Juliana Santos"/>
    <x v="0"/>
    <x v="1"/>
    <s v="Política"/>
    <x v="1"/>
    <d v="1962-01-07T00:00:00"/>
    <x v="1"/>
    <x v="1"/>
    <n v="79.900000000000006"/>
    <n v="64"/>
    <x v="0"/>
  </r>
  <r>
    <n v="33812311392"/>
    <s v="Laura Miranda"/>
    <x v="0"/>
    <x v="1"/>
    <s v="Política"/>
    <x v="0"/>
    <d v="1978-05-31T00:00:00"/>
    <x v="7"/>
    <x v="1"/>
    <n v="79.900000000000006"/>
    <n v="47"/>
    <x v="3"/>
  </r>
  <r>
    <n v="81829540486"/>
    <s v="Laura Miranda"/>
    <x v="0"/>
    <x v="1"/>
    <s v="Política"/>
    <x v="0"/>
    <d v="1992-02-06T00:00:00"/>
    <x v="0"/>
    <x v="1"/>
    <n v="79.900000000000006"/>
    <n v="34"/>
    <x v="2"/>
  </r>
  <r>
    <n v="25690893853"/>
    <s v="Lily Cooper"/>
    <x v="0"/>
    <x v="1"/>
    <s v="Esportes"/>
    <x v="0"/>
    <d v="1962-04-22T00:00:00"/>
    <x v="0"/>
    <x v="0"/>
    <n v="9.9"/>
    <n v="63"/>
    <x v="0"/>
  </r>
  <r>
    <n v="36796717410"/>
    <s v="Lily Cooper"/>
    <x v="0"/>
    <x v="1"/>
    <s v="Esportes"/>
    <x v="0"/>
    <d v="1985-06-20T00:00:00"/>
    <x v="6"/>
    <x v="0"/>
    <n v="9.9"/>
    <n v="40"/>
    <x v="1"/>
  </r>
  <r>
    <n v="48647651375"/>
    <s v="Lorena Paredes"/>
    <x v="0"/>
    <x v="1"/>
    <s v="Negócios"/>
    <x v="0"/>
    <d v="1960-06-05T00:00:00"/>
    <x v="2"/>
    <x v="0"/>
    <n v="9.9"/>
    <n v="65"/>
    <x v="0"/>
  </r>
  <r>
    <n v="60024137404"/>
    <s v="Lorena Paredes"/>
    <x v="0"/>
    <x v="1"/>
    <s v="Negócios"/>
    <x v="0"/>
    <d v="1970-12-13T00:00:00"/>
    <x v="0"/>
    <x v="0"/>
    <n v="9.9"/>
    <n v="55"/>
    <x v="0"/>
  </r>
  <r>
    <n v="53837589861"/>
    <s v="Maria Alencar"/>
    <x v="0"/>
    <x v="1"/>
    <s v="Política"/>
    <x v="1"/>
    <d v="1984-02-21T00:00:00"/>
    <x v="0"/>
    <x v="1"/>
    <n v="79.900000000000006"/>
    <n v="42"/>
    <x v="1"/>
  </r>
  <r>
    <n v="75105956259"/>
    <s v="Maria Alencar"/>
    <x v="0"/>
    <x v="1"/>
    <s v="Política"/>
    <x v="1"/>
    <d v="1994-03-01T00:00:00"/>
    <x v="4"/>
    <x v="1"/>
    <n v="79.900000000000006"/>
    <n v="32"/>
    <x v="2"/>
  </r>
  <r>
    <n v="28435465592"/>
    <s v="Maria das Graças Silva"/>
    <x v="0"/>
    <x v="1"/>
    <s v="Finanças"/>
    <x v="0"/>
    <d v="1993-06-12T00:00:00"/>
    <x v="2"/>
    <x v="2"/>
    <n v="29.9"/>
    <n v="32"/>
    <x v="2"/>
  </r>
  <r>
    <n v="36953446241"/>
    <s v="Maria das Graças Silva"/>
    <x v="0"/>
    <x v="1"/>
    <s v="Finanças"/>
    <x v="0"/>
    <d v="1969-03-07T00:00:00"/>
    <x v="2"/>
    <x v="2"/>
    <n v="29.9"/>
    <n v="57"/>
    <x v="0"/>
  </r>
  <r>
    <n v="45034419141"/>
    <s v="Maria Santos"/>
    <x v="0"/>
    <x v="1"/>
    <s v="Política"/>
    <x v="0"/>
    <d v="1961-08-12T00:00:00"/>
    <x v="5"/>
    <x v="1"/>
    <n v="79.900000000000006"/>
    <n v="64"/>
    <x v="0"/>
  </r>
  <r>
    <n v="91362501845"/>
    <s v="Maria Santos"/>
    <x v="0"/>
    <x v="1"/>
    <s v="Política"/>
    <x v="0"/>
    <d v="1977-09-26T00:00:00"/>
    <x v="0"/>
    <x v="1"/>
    <n v="79.900000000000006"/>
    <n v="48"/>
    <x v="3"/>
  </r>
  <r>
    <n v="29031986542"/>
    <s v="Mariana Fernandes"/>
    <x v="0"/>
    <x v="1"/>
    <s v="Agronegócio"/>
    <x v="0"/>
    <d v="1957-07-25T00:00:00"/>
    <x v="0"/>
    <x v="0"/>
    <n v="9.9"/>
    <n v="68"/>
    <x v="0"/>
  </r>
  <r>
    <n v="48338358825"/>
    <s v="Mariana Fernandes"/>
    <x v="0"/>
    <x v="1"/>
    <s v="Agronegócio"/>
    <x v="0"/>
    <d v="1989-03-11T00:00:00"/>
    <x v="0"/>
    <x v="0"/>
    <n v="9.9"/>
    <n v="37"/>
    <x v="1"/>
  </r>
  <r>
    <n v="44873409921"/>
    <s v="Mariana Gomes"/>
    <x v="0"/>
    <x v="1"/>
    <s v="Economia"/>
    <x v="1"/>
    <d v="1984-12-24T00:00:00"/>
    <x v="1"/>
    <x v="2"/>
    <n v="29.9"/>
    <n v="41"/>
    <x v="1"/>
  </r>
  <r>
    <n v="87686193175"/>
    <s v="Mariana Gomes"/>
    <x v="0"/>
    <x v="1"/>
    <s v="Economia"/>
    <x v="1"/>
    <d v="1998-01-30T00:00:00"/>
    <x v="1"/>
    <x v="2"/>
    <n v="29.9"/>
    <n v="28"/>
    <x v="2"/>
  </r>
  <r>
    <n v="26552662070"/>
    <s v="Mariana Rodrigues"/>
    <x v="0"/>
    <x v="1"/>
    <s v="Política"/>
    <x v="0"/>
    <d v="1958-01-07T00:00:00"/>
    <x v="0"/>
    <x v="1"/>
    <n v="79.900000000000006"/>
    <n v="68"/>
    <x v="0"/>
  </r>
  <r>
    <n v="35462568122"/>
    <s v="Mariana Rodrigues"/>
    <x v="0"/>
    <x v="1"/>
    <s v="Política"/>
    <x v="0"/>
    <d v="1979-05-18T00:00:00"/>
    <x v="0"/>
    <x v="1"/>
    <n v="79.900000000000006"/>
    <n v="46"/>
    <x v="3"/>
  </r>
  <r>
    <n v="36224475305"/>
    <s v="Mariana Santos"/>
    <x v="0"/>
    <x v="1"/>
    <s v="Esportes"/>
    <x v="2"/>
    <d v="1977-02-27T00:00:00"/>
    <x v="1"/>
    <x v="0"/>
    <n v="9.9"/>
    <n v="49"/>
    <x v="3"/>
  </r>
  <r>
    <n v="88238264803"/>
    <s v="Mariana Santos"/>
    <x v="0"/>
    <x v="1"/>
    <s v="Esportes"/>
    <x v="2"/>
    <d v="1972-11-08T00:00:00"/>
    <x v="0"/>
    <x v="0"/>
    <n v="9.9"/>
    <n v="53"/>
    <x v="3"/>
  </r>
  <r>
    <n v="48910175046"/>
    <s v="Mariana Souza"/>
    <x v="0"/>
    <x v="1"/>
    <s v="Negócios"/>
    <x v="0"/>
    <d v="1960-05-03T00:00:00"/>
    <x v="5"/>
    <x v="3"/>
    <n v="35.9"/>
    <n v="65"/>
    <x v="0"/>
  </r>
  <r>
    <n v="99391394012"/>
    <s v="Mariana Souza"/>
    <x v="0"/>
    <x v="1"/>
    <s v="Negócios"/>
    <x v="0"/>
    <d v="1999-06-01T00:00:00"/>
    <x v="1"/>
    <x v="3"/>
    <n v="35.9"/>
    <n v="26"/>
    <x v="2"/>
  </r>
  <r>
    <n v="53544540367"/>
    <s v="Marisol Ponce"/>
    <x v="0"/>
    <x v="1"/>
    <s v="Política"/>
    <x v="1"/>
    <d v="1988-06-27T00:00:00"/>
    <x v="1"/>
    <x v="1"/>
    <n v="79.900000000000006"/>
    <n v="37"/>
    <x v="1"/>
  </r>
  <r>
    <n v="93174372517"/>
    <s v="Marisol Ponce"/>
    <x v="0"/>
    <x v="1"/>
    <s v="Política"/>
    <x v="1"/>
    <d v="1978-05-23T00:00:00"/>
    <x v="1"/>
    <x v="1"/>
    <n v="79.900000000000006"/>
    <n v="47"/>
    <x v="3"/>
  </r>
  <r>
    <n v="30135605541"/>
    <s v="Mason Anderson"/>
    <x v="0"/>
    <x v="1"/>
    <s v="Finanças"/>
    <x v="0"/>
    <d v="1960-01-13T00:00:00"/>
    <x v="2"/>
    <x v="2"/>
    <n v="29.9"/>
    <n v="66"/>
    <x v="0"/>
  </r>
  <r>
    <n v="95202710429"/>
    <s v="Mason Anderson"/>
    <x v="0"/>
    <x v="1"/>
    <s v="Finanças"/>
    <x v="1"/>
    <d v="1966-07-12T00:00:00"/>
    <x v="0"/>
    <x v="2"/>
    <n v="29.9"/>
    <n v="59"/>
    <x v="0"/>
  </r>
  <r>
    <n v="35548890934"/>
    <s v="Mayra Escobar"/>
    <x v="0"/>
    <x v="1"/>
    <s v="Economia"/>
    <x v="1"/>
    <d v="1988-03-30T00:00:00"/>
    <x v="3"/>
    <x v="2"/>
    <n v="29.9"/>
    <n v="37"/>
    <x v="1"/>
  </r>
  <r>
    <n v="50850484107"/>
    <s v="Mayra Escobar"/>
    <x v="0"/>
    <x v="1"/>
    <s v="Economia"/>
    <x v="1"/>
    <d v="1988-12-10T00:00:00"/>
    <x v="0"/>
    <x v="2"/>
    <n v="29.9"/>
    <n v="37"/>
    <x v="1"/>
  </r>
  <r>
    <n v="43743382226"/>
    <s v="Natalia Jimenez"/>
    <x v="0"/>
    <x v="1"/>
    <s v="Economia"/>
    <x v="0"/>
    <d v="1990-07-28T00:00:00"/>
    <x v="1"/>
    <x v="2"/>
    <n v="29.9"/>
    <n v="35"/>
    <x v="1"/>
  </r>
  <r>
    <n v="51769930316"/>
    <s v="Natalia Jimenez"/>
    <x v="0"/>
    <x v="1"/>
    <s v="Economia"/>
    <x v="0"/>
    <d v="1970-11-13T00:00:00"/>
    <x v="5"/>
    <x v="2"/>
    <n v="29.9"/>
    <n v="55"/>
    <x v="0"/>
  </r>
  <r>
    <n v="37770682454"/>
    <s v="Patricia Fuentes"/>
    <x v="0"/>
    <x v="1"/>
    <s v="Política"/>
    <x v="1"/>
    <d v="1965-11-20T00:00:00"/>
    <x v="3"/>
    <x v="1"/>
    <n v="79.900000000000006"/>
    <n v="60"/>
    <x v="0"/>
  </r>
  <r>
    <n v="49281927823"/>
    <s v="Patricia Fuentes"/>
    <x v="0"/>
    <x v="1"/>
    <s v="Política"/>
    <x v="1"/>
    <d v="1993-12-26T00:00:00"/>
    <x v="0"/>
    <x v="1"/>
    <n v="79.900000000000006"/>
    <n v="32"/>
    <x v="2"/>
  </r>
  <r>
    <n v="42346270511"/>
    <s v="Paulo Lima"/>
    <x v="0"/>
    <x v="1"/>
    <s v="Economia"/>
    <x v="2"/>
    <d v="1982-10-30T00:00:00"/>
    <x v="0"/>
    <x v="2"/>
    <n v="29.9"/>
    <n v="43"/>
    <x v="1"/>
  </r>
  <r>
    <n v="86094864413"/>
    <s v="Paulo Lima"/>
    <x v="0"/>
    <x v="1"/>
    <s v="Economia"/>
    <x v="2"/>
    <d v="1986-03-03T00:00:00"/>
    <x v="0"/>
    <x v="2"/>
    <n v="29.9"/>
    <n v="40"/>
    <x v="1"/>
  </r>
  <r>
    <n v="38507330255"/>
    <s v="Renata Costa"/>
    <x v="0"/>
    <x v="1"/>
    <s v="Economia"/>
    <x v="0"/>
    <d v="1971-08-19T00:00:00"/>
    <x v="4"/>
    <x v="3"/>
    <n v="35.9"/>
    <n v="54"/>
    <x v="0"/>
  </r>
  <r>
    <n v="48711816230"/>
    <s v="Renata Costa"/>
    <x v="0"/>
    <x v="1"/>
    <s v="Economia"/>
    <x v="0"/>
    <d v="1959-06-17T00:00:00"/>
    <x v="5"/>
    <x v="3"/>
    <n v="35.9"/>
    <n v="66"/>
    <x v="0"/>
  </r>
  <r>
    <n v="47979032104"/>
    <s v="Renata Gomes"/>
    <x v="0"/>
    <x v="1"/>
    <s v="Economia"/>
    <x v="1"/>
    <d v="1970-12-07T00:00:00"/>
    <x v="0"/>
    <x v="2"/>
    <n v="29.9"/>
    <n v="55"/>
    <x v="0"/>
  </r>
  <r>
    <n v="51147741385"/>
    <s v="Renata Gomes"/>
    <x v="0"/>
    <x v="1"/>
    <s v="Economia"/>
    <x v="1"/>
    <d v="1986-01-08T00:00:00"/>
    <x v="0"/>
    <x v="2"/>
    <n v="29.9"/>
    <n v="40"/>
    <x v="1"/>
  </r>
  <r>
    <n v="40248631760"/>
    <s v="Renata Oliveira"/>
    <x v="0"/>
    <x v="1"/>
    <s v="Negócios"/>
    <x v="1"/>
    <d v="1995-05-19T00:00:00"/>
    <x v="2"/>
    <x v="0"/>
    <n v="9.9"/>
    <n v="30"/>
    <x v="2"/>
  </r>
  <r>
    <n v="63568912225"/>
    <s v="Renata Oliveira"/>
    <x v="0"/>
    <x v="1"/>
    <s v="Negócios"/>
    <x v="1"/>
    <d v="1975-02-19T00:00:00"/>
    <x v="0"/>
    <x v="0"/>
    <n v="9.9"/>
    <n v="51"/>
    <x v="3"/>
  </r>
  <r>
    <n v="43251240742"/>
    <s v="Rita Costa"/>
    <x v="0"/>
    <x v="1"/>
    <s v="Economia"/>
    <x v="0"/>
    <d v="1974-09-13T00:00:00"/>
    <x v="0"/>
    <x v="0"/>
    <n v="9.9"/>
    <n v="51"/>
    <x v="3"/>
  </r>
  <r>
    <n v="76755306471"/>
    <s v="Rita Costa"/>
    <x v="0"/>
    <x v="1"/>
    <s v="Economia"/>
    <x v="0"/>
    <d v="1983-03-15T00:00:00"/>
    <x v="0"/>
    <x v="0"/>
    <n v="9.9"/>
    <n v="43"/>
    <x v="1"/>
  </r>
  <r>
    <n v="27448464474"/>
    <s v="Rita Gomes"/>
    <x v="0"/>
    <x v="1"/>
    <s v="Negócios"/>
    <x v="1"/>
    <d v="1972-06-28T00:00:00"/>
    <x v="5"/>
    <x v="0"/>
    <n v="9.9"/>
    <n v="53"/>
    <x v="3"/>
  </r>
  <r>
    <n v="94559470168"/>
    <s v="Rita Gomes"/>
    <x v="0"/>
    <x v="1"/>
    <s v="Negócios"/>
    <x v="1"/>
    <d v="1998-12-20T00:00:00"/>
    <x v="0"/>
    <x v="0"/>
    <n v="9.9"/>
    <n v="27"/>
    <x v="2"/>
  </r>
  <r>
    <n v="23832649809"/>
    <s v="Rita Santos"/>
    <x v="0"/>
    <x v="1"/>
    <s v="Política"/>
    <x v="1"/>
    <d v="1960-02-23T00:00:00"/>
    <x v="0"/>
    <x v="1"/>
    <n v="79.900000000000006"/>
    <n v="66"/>
    <x v="0"/>
  </r>
  <r>
    <n v="68766514941"/>
    <s v="Rita Santos"/>
    <x v="0"/>
    <x v="1"/>
    <s v="Política"/>
    <x v="1"/>
    <d v="1987-03-25T00:00:00"/>
    <x v="1"/>
    <x v="1"/>
    <n v="79.900000000000006"/>
    <n v="39"/>
    <x v="1"/>
  </r>
  <r>
    <n v="29550625936"/>
    <s v="Samantha Price"/>
    <x v="0"/>
    <x v="1"/>
    <s v="Negócios"/>
    <x v="0"/>
    <d v="1979-10-27T00:00:00"/>
    <x v="1"/>
    <x v="2"/>
    <n v="29.9"/>
    <n v="46"/>
    <x v="3"/>
  </r>
  <r>
    <n v="88896839501"/>
    <s v="Samantha Price"/>
    <x v="0"/>
    <x v="1"/>
    <s v="Negócios"/>
    <x v="0"/>
    <d v="1963-06-25T00:00:00"/>
    <x v="2"/>
    <x v="2"/>
    <n v="29.9"/>
    <n v="62"/>
    <x v="0"/>
  </r>
  <r>
    <n v="36873140092"/>
    <s v="Sandra Costa"/>
    <x v="0"/>
    <x v="1"/>
    <s v="Economia"/>
    <x v="2"/>
    <d v="1991-07-18T00:00:00"/>
    <x v="2"/>
    <x v="2"/>
    <n v="29.9"/>
    <n v="34"/>
    <x v="2"/>
  </r>
  <r>
    <n v="66332658626"/>
    <s v="Sandra Costa"/>
    <x v="0"/>
    <x v="1"/>
    <s v="Economia"/>
    <x v="2"/>
    <d v="1964-03-27T00:00:00"/>
    <x v="0"/>
    <x v="2"/>
    <n v="29.9"/>
    <n v="62"/>
    <x v="0"/>
  </r>
  <r>
    <n v="22545488634"/>
    <s v="Sandra Martins"/>
    <x v="0"/>
    <x v="1"/>
    <s v="Esportes"/>
    <x v="0"/>
    <d v="1961-08-31T00:00:00"/>
    <x v="0"/>
    <x v="0"/>
    <n v="9.9"/>
    <n v="64"/>
    <x v="0"/>
  </r>
  <r>
    <n v="45881940290"/>
    <s v="Sandra Martins"/>
    <x v="0"/>
    <x v="1"/>
    <s v="Esportes"/>
    <x v="0"/>
    <d v="1987-12-31T00:00:00"/>
    <x v="3"/>
    <x v="0"/>
    <n v="9.9"/>
    <n v="38"/>
    <x v="1"/>
  </r>
  <r>
    <n v="50013996249"/>
    <s v="Sandra Pereira"/>
    <x v="0"/>
    <x v="1"/>
    <s v="Negócios"/>
    <x v="0"/>
    <d v="1968-02-04T00:00:00"/>
    <x v="3"/>
    <x v="1"/>
    <n v="79.900000000000006"/>
    <n v="58"/>
    <x v="0"/>
  </r>
  <r>
    <n v="68419842651"/>
    <s v="Sandra Pereira"/>
    <x v="0"/>
    <x v="1"/>
    <s v="Negócios"/>
    <x v="0"/>
    <d v="1987-09-17T00:00:00"/>
    <x v="4"/>
    <x v="1"/>
    <n v="79.900000000000006"/>
    <n v="38"/>
    <x v="1"/>
  </r>
  <r>
    <n v="51789418350"/>
    <s v="Sergio Camacho"/>
    <x v="0"/>
    <x v="1"/>
    <s v="Negócios"/>
    <x v="0"/>
    <d v="1984-05-22T00:00:00"/>
    <x v="0"/>
    <x v="2"/>
    <n v="29.9"/>
    <n v="41"/>
    <x v="1"/>
  </r>
  <r>
    <n v="95305432346"/>
    <s v="Sergio Camacho"/>
    <x v="0"/>
    <x v="1"/>
    <s v="Negócios"/>
    <x v="0"/>
    <d v="1974-01-17T00:00:00"/>
    <x v="2"/>
    <x v="2"/>
    <n v="29.9"/>
    <n v="52"/>
    <x v="3"/>
  </r>
  <r>
    <n v="38165951942"/>
    <s v="Sofia King"/>
    <x v="0"/>
    <x v="1"/>
    <s v="Agronegócio"/>
    <x v="0"/>
    <d v="1973-09-07T00:00:00"/>
    <x v="5"/>
    <x v="3"/>
    <n v="35.9"/>
    <n v="52"/>
    <x v="3"/>
  </r>
  <r>
    <n v="47372471507"/>
    <s v="Stella Ross"/>
    <x v="0"/>
    <x v="1"/>
    <s v="Agronegócio"/>
    <x v="2"/>
    <d v="1959-06-25T00:00:00"/>
    <x v="0"/>
    <x v="1"/>
    <n v="79.900000000000006"/>
    <n v="66"/>
    <x v="0"/>
  </r>
  <r>
    <n v="92768661715"/>
    <s v="Stella Ross"/>
    <x v="0"/>
    <x v="1"/>
    <s v="Agronegócio"/>
    <x v="2"/>
    <d v="1985-01-31T00:00:00"/>
    <x v="0"/>
    <x v="1"/>
    <n v="79.900000000000006"/>
    <n v="41"/>
    <x v="1"/>
  </r>
  <r>
    <n v="41038445189"/>
    <s v="Vanessa Costa"/>
    <x v="0"/>
    <x v="1"/>
    <s v="Política"/>
    <x v="1"/>
    <d v="1984-10-07T00:00:00"/>
    <x v="2"/>
    <x v="1"/>
    <n v="79.900000000000006"/>
    <n v="41"/>
    <x v="1"/>
  </r>
  <r>
    <n v="53741571286"/>
    <s v="Vanessa Costa"/>
    <x v="0"/>
    <x v="1"/>
    <s v="Política"/>
    <x v="1"/>
    <d v="1996-04-16T00:00:00"/>
    <x v="0"/>
    <x v="1"/>
    <n v="79.900000000000006"/>
    <n v="29"/>
    <x v="2"/>
  </r>
  <r>
    <n v="42460611185"/>
    <s v="Vanessa Sosa"/>
    <x v="0"/>
    <x v="1"/>
    <s v="Finanças"/>
    <x v="0"/>
    <d v="1968-03-11T00:00:00"/>
    <x v="6"/>
    <x v="2"/>
    <n v="29.9"/>
    <n v="58"/>
    <x v="0"/>
  </r>
  <r>
    <n v="45190223661"/>
    <s v="Vanessa Sosa"/>
    <x v="0"/>
    <x v="1"/>
    <s v="Finanças"/>
    <x v="0"/>
    <d v="1967-07-04T00:00:00"/>
    <x v="0"/>
    <x v="2"/>
    <n v="29.9"/>
    <n v="58"/>
    <x v="0"/>
  </r>
  <r>
    <n v="45953823152"/>
    <s v="Vilma Costa"/>
    <x v="0"/>
    <x v="1"/>
    <s v="Economia"/>
    <x v="0"/>
    <d v="1963-05-29T00:00:00"/>
    <x v="1"/>
    <x v="3"/>
    <n v="35.9"/>
    <n v="62"/>
    <x v="0"/>
  </r>
  <r>
    <n v="85880197310"/>
    <s v="Vilma Costa"/>
    <x v="0"/>
    <x v="1"/>
    <s v="Economia"/>
    <x v="0"/>
    <d v="1977-06-03T00:00:00"/>
    <x v="0"/>
    <x v="3"/>
    <n v="35.9"/>
    <n v="48"/>
    <x v="3"/>
  </r>
  <r>
    <n v="49479547341"/>
    <s v="Vilma Gomes"/>
    <x v="0"/>
    <x v="1"/>
    <s v="Política"/>
    <x v="1"/>
    <d v="1963-09-08T00:00:00"/>
    <x v="1"/>
    <x v="1"/>
    <n v="79.900000000000006"/>
    <n v="62"/>
    <x v="0"/>
  </r>
  <r>
    <n v="54839142796"/>
    <s v="Vilma Gomes"/>
    <x v="0"/>
    <x v="1"/>
    <s v="Política"/>
    <x v="1"/>
    <d v="1995-04-18T00:00:00"/>
    <x v="0"/>
    <x v="1"/>
    <n v="79.900000000000006"/>
    <n v="30"/>
    <x v="2"/>
  </r>
  <r>
    <n v="25299040876"/>
    <s v="Vilma Pereira"/>
    <x v="0"/>
    <x v="1"/>
    <s v="Finanças"/>
    <x v="0"/>
    <d v="1960-03-27T00:00:00"/>
    <x v="0"/>
    <x v="0"/>
    <n v="9.9"/>
    <n v="66"/>
    <x v="0"/>
  </r>
  <r>
    <n v="63430108478"/>
    <s v="Vilma Pereira"/>
    <x v="0"/>
    <x v="1"/>
    <s v="Finanças"/>
    <x v="0"/>
    <d v="1972-05-04T00:00:00"/>
    <x v="0"/>
    <x v="0"/>
    <n v="9.9"/>
    <n v="53"/>
    <x v="3"/>
  </r>
  <r>
    <n v="33614763115"/>
    <s v="Vilma Santos"/>
    <x v="0"/>
    <x v="1"/>
    <s v="Finanças"/>
    <x v="1"/>
    <d v="1993-01-04T00:00:00"/>
    <x v="0"/>
    <x v="2"/>
    <n v="29.9"/>
    <n v="33"/>
    <x v="2"/>
  </r>
  <r>
    <n v="79191835030"/>
    <s v="Vilma Santos"/>
    <x v="0"/>
    <x v="1"/>
    <s v="Finanças"/>
    <x v="1"/>
    <d v="1983-12-14T00:00:00"/>
    <x v="0"/>
    <x v="2"/>
    <n v="29.9"/>
    <n v="42"/>
    <x v="1"/>
  </r>
  <r>
    <n v="22730255729"/>
    <s v="Abigail Clark"/>
    <x v="1"/>
    <x v="1"/>
    <s v="Agronegócio"/>
    <x v="0"/>
    <d v="1956-06-27T00:00:00"/>
    <x v="0"/>
    <x v="0"/>
    <n v="9.9"/>
    <n v="69"/>
    <x v="0"/>
  </r>
  <r>
    <n v="43862516707"/>
    <s v="Abigail Clark"/>
    <x v="1"/>
    <x v="1"/>
    <s v="Agronegócio"/>
    <x v="0"/>
    <d v="1969-07-20T00:00:00"/>
    <x v="5"/>
    <x v="0"/>
    <n v="9.9"/>
    <n v="56"/>
    <x v="0"/>
  </r>
  <r>
    <n v="29416954094"/>
    <s v="Adrian Brooks"/>
    <x v="1"/>
    <x v="1"/>
    <s v="Negócios"/>
    <x v="0"/>
    <d v="1981-10-12T00:00:00"/>
    <x v="1"/>
    <x v="1"/>
    <n v="79.900000000000006"/>
    <n v="44"/>
    <x v="3"/>
  </r>
  <r>
    <n v="50331166214"/>
    <s v="Adrian Brooks"/>
    <x v="1"/>
    <x v="1"/>
    <s v="Negócios"/>
    <x v="0"/>
    <d v="1977-05-08T00:00:00"/>
    <x v="1"/>
    <x v="1"/>
    <n v="79.900000000000006"/>
    <n v="48"/>
    <x v="3"/>
  </r>
  <r>
    <n v="38738606466"/>
    <s v="Alexander Lewis"/>
    <x v="1"/>
    <x v="1"/>
    <s v="Política"/>
    <x v="0"/>
    <d v="1996-02-04T00:00:00"/>
    <x v="5"/>
    <x v="1"/>
    <n v="79.900000000000006"/>
    <n v="30"/>
    <x v="2"/>
  </r>
  <r>
    <n v="28940705644"/>
    <s v="André Lima"/>
    <x v="1"/>
    <x v="1"/>
    <s v="Economia"/>
    <x v="0"/>
    <d v="1969-11-20T00:00:00"/>
    <x v="0"/>
    <x v="3"/>
    <n v="35.9"/>
    <n v="56"/>
    <x v="0"/>
  </r>
  <r>
    <n v="71989553091"/>
    <s v="André Lima"/>
    <x v="1"/>
    <x v="1"/>
    <s v="Economia"/>
    <x v="0"/>
    <d v="1964-05-13T00:00:00"/>
    <x v="1"/>
    <x v="3"/>
    <n v="35.9"/>
    <n v="61"/>
    <x v="0"/>
  </r>
  <r>
    <n v="49733529074"/>
    <s v="Antônio Silva"/>
    <x v="1"/>
    <x v="1"/>
    <s v="Agronegócio"/>
    <x v="0"/>
    <d v="1980-12-23T00:00:00"/>
    <x v="0"/>
    <x v="1"/>
    <n v="79.900000000000006"/>
    <n v="45"/>
    <x v="3"/>
  </r>
  <r>
    <n v="73947215075"/>
    <s v="Antônio Silva"/>
    <x v="1"/>
    <x v="1"/>
    <s v="Agronegócio"/>
    <x v="0"/>
    <d v="1976-06-06T00:00:00"/>
    <x v="2"/>
    <x v="1"/>
    <n v="79.900000000000006"/>
    <n v="49"/>
    <x v="3"/>
  </r>
  <r>
    <n v="28577291217"/>
    <s v="Benjamin Moore"/>
    <x v="1"/>
    <x v="1"/>
    <s v="Negócios"/>
    <x v="0"/>
    <d v="1983-04-17T00:00:00"/>
    <x v="0"/>
    <x v="2"/>
    <n v="29.9"/>
    <n v="42"/>
    <x v="1"/>
  </r>
  <r>
    <n v="42314907630"/>
    <s v="Benjamin Moore"/>
    <x v="1"/>
    <x v="1"/>
    <s v="Negócios"/>
    <x v="0"/>
    <d v="1986-05-19T00:00:00"/>
    <x v="0"/>
    <x v="2"/>
    <n v="29.9"/>
    <n v="39"/>
    <x v="1"/>
  </r>
  <r>
    <n v="38720204448"/>
    <s v="Benjamin Vasquez"/>
    <x v="1"/>
    <x v="1"/>
    <s v="Economia"/>
    <x v="0"/>
    <d v="1984-03-22T00:00:00"/>
    <x v="1"/>
    <x v="3"/>
    <n v="35.9"/>
    <n v="42"/>
    <x v="1"/>
  </r>
  <r>
    <n v="55359798830"/>
    <s v="Benjamin Vasquez"/>
    <x v="1"/>
    <x v="1"/>
    <s v="Economia"/>
    <x v="0"/>
    <d v="1981-07-03T00:00:00"/>
    <x v="1"/>
    <x v="3"/>
    <n v="35.9"/>
    <n v="44"/>
    <x v="3"/>
  </r>
  <r>
    <n v="42400046505"/>
    <s v="Bernardo Fernandes"/>
    <x v="1"/>
    <x v="1"/>
    <s v="Finanças"/>
    <x v="0"/>
    <d v="1976-08-13T00:00:00"/>
    <x v="2"/>
    <x v="2"/>
    <n v="29.9"/>
    <n v="49"/>
    <x v="3"/>
  </r>
  <r>
    <n v="98384039664"/>
    <s v="Bernardo Fernandes"/>
    <x v="1"/>
    <x v="1"/>
    <s v="Finanças"/>
    <x v="0"/>
    <d v="1997-02-07T00:00:00"/>
    <x v="1"/>
    <x v="2"/>
    <n v="29.9"/>
    <n v="29"/>
    <x v="2"/>
  </r>
  <r>
    <n v="42110059785"/>
    <s v="Bernardo Pereira"/>
    <x v="1"/>
    <x v="1"/>
    <s v="Negócios"/>
    <x v="0"/>
    <d v="1979-04-29T00:00:00"/>
    <x v="0"/>
    <x v="2"/>
    <n v="29.9"/>
    <n v="46"/>
    <x v="3"/>
  </r>
  <r>
    <n v="81389193399"/>
    <s v="Bernardo Pereira"/>
    <x v="1"/>
    <x v="1"/>
    <s v="Negócios"/>
    <x v="0"/>
    <d v="1979-09-17T00:00:00"/>
    <x v="1"/>
    <x v="2"/>
    <n v="29.9"/>
    <n v="46"/>
    <x v="3"/>
  </r>
  <r>
    <n v="30571772130"/>
    <s v="Bernardo Silva"/>
    <x v="1"/>
    <x v="1"/>
    <s v="Agronegócio"/>
    <x v="2"/>
    <d v="1995-07-11T00:00:00"/>
    <x v="1"/>
    <x v="1"/>
    <n v="79.900000000000006"/>
    <n v="30"/>
    <x v="2"/>
  </r>
  <r>
    <n v="60183693472"/>
    <s v="Bernardo Silva"/>
    <x v="1"/>
    <x v="1"/>
    <s v="Agronegócio"/>
    <x v="2"/>
    <d v="1984-04-25T00:00:00"/>
    <x v="2"/>
    <x v="1"/>
    <n v="79.900000000000006"/>
    <n v="41"/>
    <x v="1"/>
  </r>
  <r>
    <n v="40955062884"/>
    <s v="Bruno Martins"/>
    <x v="1"/>
    <x v="1"/>
    <s v="Negócios"/>
    <x v="0"/>
    <d v="1993-01-07T00:00:00"/>
    <x v="5"/>
    <x v="1"/>
    <n v="79.900000000000006"/>
    <n v="33"/>
    <x v="2"/>
  </r>
  <r>
    <n v="95717759227"/>
    <s v="Bruno Martins"/>
    <x v="1"/>
    <x v="1"/>
    <s v="Negócios"/>
    <x v="1"/>
    <d v="1985-07-26T00:00:00"/>
    <x v="4"/>
    <x v="1"/>
    <n v="79.900000000000006"/>
    <n v="40"/>
    <x v="1"/>
  </r>
  <r>
    <n v="43245355006"/>
    <s v="Bruno Rodrigues"/>
    <x v="1"/>
    <x v="1"/>
    <s v="Negócios"/>
    <x v="0"/>
    <d v="1994-07-24T00:00:00"/>
    <x v="0"/>
    <x v="3"/>
    <n v="35.9"/>
    <n v="31"/>
    <x v="2"/>
  </r>
  <r>
    <n v="89438414320"/>
    <s v="Bruno Rodrigues"/>
    <x v="1"/>
    <x v="1"/>
    <s v="Negócios"/>
    <x v="0"/>
    <d v="1997-06-15T00:00:00"/>
    <x v="7"/>
    <x v="3"/>
    <n v="35.9"/>
    <n v="28"/>
    <x v="2"/>
  </r>
  <r>
    <n v="25770108240"/>
    <s v="Bruno Santos"/>
    <x v="1"/>
    <x v="1"/>
    <s v="Economia"/>
    <x v="0"/>
    <d v="1984-09-12T00:00:00"/>
    <x v="0"/>
    <x v="0"/>
    <n v="9.9"/>
    <n v="41"/>
    <x v="1"/>
  </r>
  <r>
    <n v="89961852342"/>
    <s v="Bruno Santos"/>
    <x v="1"/>
    <x v="1"/>
    <s v="Economia"/>
    <x v="0"/>
    <d v="1980-08-14T00:00:00"/>
    <x v="1"/>
    <x v="0"/>
    <n v="9.9"/>
    <n v="45"/>
    <x v="3"/>
  </r>
  <r>
    <n v="49859929846"/>
    <s v="Carlos Alberto Garcia"/>
    <x v="1"/>
    <x v="1"/>
    <s v="Economia"/>
    <x v="0"/>
    <d v="1991-08-18T00:00:00"/>
    <x v="0"/>
    <x v="0"/>
    <n v="9.9"/>
    <n v="34"/>
    <x v="2"/>
  </r>
  <r>
    <n v="57592799094"/>
    <s v="Carlos Alberto Garcia"/>
    <x v="1"/>
    <x v="1"/>
    <s v="Economia"/>
    <x v="0"/>
    <d v="1978-11-19T00:00:00"/>
    <x v="5"/>
    <x v="0"/>
    <n v="9.9"/>
    <n v="47"/>
    <x v="3"/>
  </r>
  <r>
    <n v="42658139379"/>
    <s v="Christian Bennett"/>
    <x v="1"/>
    <x v="1"/>
    <s v="Política"/>
    <x v="0"/>
    <d v="1989-09-19T00:00:00"/>
    <x v="7"/>
    <x v="1"/>
    <n v="79.900000000000006"/>
    <n v="36"/>
    <x v="1"/>
  </r>
  <r>
    <n v="83212266867"/>
    <s v="Christian Bennett"/>
    <x v="1"/>
    <x v="1"/>
    <s v="Política"/>
    <x v="0"/>
    <d v="1982-09-02T00:00:00"/>
    <x v="5"/>
    <x v="1"/>
    <n v="79.900000000000006"/>
    <n v="43"/>
    <x v="1"/>
  </r>
  <r>
    <n v="31969357318"/>
    <s v="Daniel Contreras"/>
    <x v="1"/>
    <x v="1"/>
    <s v="Finanças"/>
    <x v="1"/>
    <d v="1963-08-09T00:00:00"/>
    <x v="1"/>
    <x v="2"/>
    <n v="29.9"/>
    <n v="62"/>
    <x v="0"/>
  </r>
  <r>
    <n v="69020558638"/>
    <s v="Daniel Contreras"/>
    <x v="1"/>
    <x v="1"/>
    <s v="Finanças"/>
    <x v="1"/>
    <d v="1983-06-21T00:00:00"/>
    <x v="5"/>
    <x v="2"/>
    <n v="29.9"/>
    <n v="42"/>
    <x v="1"/>
  </r>
  <r>
    <n v="39217268673"/>
    <s v="Daniel Santos"/>
    <x v="1"/>
    <x v="1"/>
    <s v="Agronegócio"/>
    <x v="2"/>
    <d v="1965-05-10T00:00:00"/>
    <x v="0"/>
    <x v="1"/>
    <n v="79.900000000000006"/>
    <n v="60"/>
    <x v="0"/>
  </r>
  <r>
    <n v="52607015603"/>
    <s v="Daniel Santos"/>
    <x v="1"/>
    <x v="1"/>
    <s v="Agronegócio"/>
    <x v="2"/>
    <d v="1976-03-11T00:00:00"/>
    <x v="0"/>
    <x v="1"/>
    <n v="79.900000000000006"/>
    <n v="50"/>
    <x v="3"/>
  </r>
  <r>
    <n v="41369590305"/>
    <s v="Emerson Martins"/>
    <x v="1"/>
    <x v="1"/>
    <s v="Agronegócio"/>
    <x v="0"/>
    <d v="1974-06-21T00:00:00"/>
    <x v="0"/>
    <x v="1"/>
    <n v="79.900000000000006"/>
    <n v="51"/>
    <x v="3"/>
  </r>
  <r>
    <n v="84131868739"/>
    <s v="Emerson Martins"/>
    <x v="1"/>
    <x v="1"/>
    <s v="Agronegócio"/>
    <x v="0"/>
    <d v="1987-06-18T00:00:00"/>
    <x v="0"/>
    <x v="1"/>
    <n v="79.900000000000006"/>
    <n v="38"/>
    <x v="1"/>
  </r>
  <r>
    <n v="45305541903"/>
    <s v="Emerson Pereira"/>
    <x v="1"/>
    <x v="1"/>
    <s v="Política"/>
    <x v="0"/>
    <d v="1966-10-02T00:00:00"/>
    <x v="0"/>
    <x v="1"/>
    <n v="79.900000000000006"/>
    <n v="59"/>
    <x v="0"/>
  </r>
  <r>
    <n v="52125136892"/>
    <s v="Emerson Pereira"/>
    <x v="1"/>
    <x v="1"/>
    <s v="Política"/>
    <x v="0"/>
    <d v="1965-05-25T00:00:00"/>
    <x v="6"/>
    <x v="1"/>
    <n v="79.900000000000006"/>
    <n v="60"/>
    <x v="0"/>
  </r>
  <r>
    <n v="31194503371"/>
    <s v="Felipe Pereira"/>
    <x v="1"/>
    <x v="1"/>
    <s v="Esportes"/>
    <x v="0"/>
    <d v="1981-05-03T00:00:00"/>
    <x v="0"/>
    <x v="0"/>
    <n v="9.9"/>
    <n v="44"/>
    <x v="3"/>
  </r>
  <r>
    <n v="52698133621"/>
    <s v="Felipe Pereira"/>
    <x v="1"/>
    <x v="1"/>
    <s v="Esportes"/>
    <x v="0"/>
    <d v="1992-03-05T00:00:00"/>
    <x v="0"/>
    <x v="0"/>
    <n v="9.9"/>
    <n v="34"/>
    <x v="2"/>
  </r>
  <r>
    <n v="33045087456"/>
    <s v="Guillermo Soto"/>
    <x v="1"/>
    <x v="1"/>
    <s v="Negócios"/>
    <x v="0"/>
    <d v="1979-12-27T00:00:00"/>
    <x v="2"/>
    <x v="2"/>
    <n v="29.9"/>
    <n v="46"/>
    <x v="3"/>
  </r>
  <r>
    <n v="80931859365"/>
    <s v="Guillermo Soto"/>
    <x v="1"/>
    <x v="1"/>
    <s v="Negócios"/>
    <x v="0"/>
    <d v="1984-05-13T00:00:00"/>
    <x v="5"/>
    <x v="2"/>
    <n v="29.9"/>
    <n v="41"/>
    <x v="1"/>
  </r>
  <r>
    <n v="31985811228"/>
    <s v="Hector Aguilar"/>
    <x v="1"/>
    <x v="1"/>
    <s v="Economia"/>
    <x v="1"/>
    <d v="1990-06-11T00:00:00"/>
    <x v="0"/>
    <x v="2"/>
    <n v="29.9"/>
    <n v="35"/>
    <x v="1"/>
  </r>
  <r>
    <n v="81656115235"/>
    <s v="Hector Aguilar"/>
    <x v="1"/>
    <x v="1"/>
    <s v="Economia"/>
    <x v="1"/>
    <d v="1989-09-01T00:00:00"/>
    <x v="0"/>
    <x v="2"/>
    <n v="29.9"/>
    <n v="36"/>
    <x v="1"/>
  </r>
  <r>
    <n v="36291746435"/>
    <s v="Hunter Sullivan"/>
    <x v="1"/>
    <x v="1"/>
    <s v="Economia"/>
    <x v="1"/>
    <d v="1998-09-07T00:00:00"/>
    <x v="5"/>
    <x v="2"/>
    <n v="29.9"/>
    <n v="27"/>
    <x v="2"/>
  </r>
  <r>
    <n v="50667919920"/>
    <s v="Hunter Sullivan"/>
    <x v="1"/>
    <x v="1"/>
    <s v="Economia"/>
    <x v="1"/>
    <d v="1981-06-06T00:00:00"/>
    <x v="0"/>
    <x v="2"/>
    <n v="29.9"/>
    <n v="44"/>
    <x v="3"/>
  </r>
  <r>
    <n v="54711975966"/>
    <s v="Isaac Henderson"/>
    <x v="1"/>
    <x v="1"/>
    <s v="Finanças"/>
    <x v="0"/>
    <d v="1981-08-28T00:00:00"/>
    <x v="0"/>
    <x v="2"/>
    <n v="29.9"/>
    <n v="44"/>
    <x v="3"/>
  </r>
  <r>
    <n v="99659049071"/>
    <s v="Isaac Henderson"/>
    <x v="1"/>
    <x v="1"/>
    <s v="Finanças"/>
    <x v="0"/>
    <d v="1996-06-13T00:00:00"/>
    <x v="0"/>
    <x v="2"/>
    <n v="29.9"/>
    <n v="29"/>
    <x v="2"/>
  </r>
  <r>
    <n v="50628172347"/>
    <s v="Jesus Manuel Jimenez"/>
    <x v="1"/>
    <x v="1"/>
    <s v="Agronegócio"/>
    <x v="0"/>
    <d v="1987-05-02T00:00:00"/>
    <x v="0"/>
    <x v="1"/>
    <n v="79.900000000000006"/>
    <n v="38"/>
    <x v="1"/>
  </r>
  <r>
    <n v="67927286591"/>
    <s v="Jesus Manuel Jimenez"/>
    <x v="1"/>
    <x v="1"/>
    <s v="Agronegócio"/>
    <x v="0"/>
    <d v="1971-08-06T00:00:00"/>
    <x v="6"/>
    <x v="1"/>
    <n v="79.900000000000006"/>
    <n v="54"/>
    <x v="0"/>
  </r>
  <r>
    <n v="52171616989"/>
    <s v="John Cook"/>
    <x v="1"/>
    <x v="1"/>
    <s v="Negócios"/>
    <x v="0"/>
    <d v="1985-09-13T00:00:00"/>
    <x v="7"/>
    <x v="0"/>
    <n v="9.9"/>
    <n v="40"/>
    <x v="1"/>
  </r>
  <r>
    <n v="88756128664"/>
    <s v="John Cook"/>
    <x v="1"/>
    <x v="1"/>
    <s v="Negócios"/>
    <x v="0"/>
    <d v="1980-02-24T00:00:00"/>
    <x v="0"/>
    <x v="0"/>
    <n v="9.9"/>
    <n v="46"/>
    <x v="3"/>
  </r>
  <r>
    <n v="42155541132"/>
    <s v="Jorge Hernandez"/>
    <x v="1"/>
    <x v="1"/>
    <s v="Agronegócio"/>
    <x v="2"/>
    <d v="1962-12-22T00:00:00"/>
    <x v="0"/>
    <x v="1"/>
    <n v="79.900000000000006"/>
    <n v="63"/>
    <x v="0"/>
  </r>
  <r>
    <n v="46222211142"/>
    <s v="Jorge Hernandez"/>
    <x v="1"/>
    <x v="1"/>
    <s v="Agronegócio"/>
    <x v="2"/>
    <d v="1958-01-28T00:00:00"/>
    <x v="1"/>
    <x v="1"/>
    <n v="79.900000000000006"/>
    <n v="68"/>
    <x v="0"/>
  </r>
  <r>
    <n v="36441615871"/>
    <s v="Jorge Vazquez"/>
    <x v="1"/>
    <x v="1"/>
    <s v="Economia"/>
    <x v="0"/>
    <d v="1986-11-17T00:00:00"/>
    <x v="0"/>
    <x v="2"/>
    <n v="29.9"/>
    <n v="39"/>
    <x v="1"/>
  </r>
  <r>
    <n v="49615735146"/>
    <s v="Jorge Vazquez"/>
    <x v="1"/>
    <x v="1"/>
    <s v="Economia"/>
    <x v="0"/>
    <d v="1988-11-21T00:00:00"/>
    <x v="1"/>
    <x v="2"/>
    <n v="29.9"/>
    <n v="37"/>
    <x v="1"/>
  </r>
  <r>
    <n v="33839338471"/>
    <s v="José Alves"/>
    <x v="1"/>
    <x v="1"/>
    <s v="Economia"/>
    <x v="0"/>
    <d v="1995-06-27T00:00:00"/>
    <x v="1"/>
    <x v="2"/>
    <n v="29.9"/>
    <n v="30"/>
    <x v="2"/>
  </r>
  <r>
    <n v="53921313520"/>
    <s v="José Alves"/>
    <x v="1"/>
    <x v="1"/>
    <s v="Economia"/>
    <x v="0"/>
    <d v="1982-11-12T00:00:00"/>
    <x v="6"/>
    <x v="2"/>
    <n v="29.9"/>
    <n v="43"/>
    <x v="1"/>
  </r>
  <r>
    <n v="34488046494"/>
    <s v="Jose Flores"/>
    <x v="1"/>
    <x v="1"/>
    <s v="Negócios"/>
    <x v="1"/>
    <d v="1988-05-15T00:00:00"/>
    <x v="6"/>
    <x v="0"/>
    <n v="9.9"/>
    <n v="37"/>
    <x v="1"/>
  </r>
  <r>
    <n v="69711643192"/>
    <s v="Jose Flores"/>
    <x v="1"/>
    <x v="1"/>
    <s v="Negócios"/>
    <x v="1"/>
    <d v="1990-08-02T00:00:00"/>
    <x v="0"/>
    <x v="0"/>
    <n v="9.9"/>
    <n v="35"/>
    <x v="1"/>
  </r>
  <r>
    <n v="30763734385"/>
    <s v="José Martins"/>
    <x v="1"/>
    <x v="1"/>
    <s v="Negócios"/>
    <x v="1"/>
    <d v="1981-10-23T00:00:00"/>
    <x v="0"/>
    <x v="1"/>
    <n v="79.900000000000006"/>
    <n v="44"/>
    <x v="3"/>
  </r>
  <r>
    <n v="50125202242"/>
    <s v="José Martins"/>
    <x v="1"/>
    <x v="1"/>
    <s v="Negócios"/>
    <x v="1"/>
    <d v="1983-01-20T00:00:00"/>
    <x v="4"/>
    <x v="1"/>
    <n v="79.900000000000006"/>
    <n v="43"/>
    <x v="1"/>
  </r>
  <r>
    <n v="27972353916"/>
    <s v="José Rodrigues"/>
    <x v="1"/>
    <x v="1"/>
    <s v="Economia"/>
    <x v="0"/>
    <d v="1972-05-01T00:00:00"/>
    <x v="6"/>
    <x v="2"/>
    <n v="29.9"/>
    <n v="53"/>
    <x v="3"/>
  </r>
  <r>
    <n v="67330566972"/>
    <s v="José Rodrigues"/>
    <x v="1"/>
    <x v="1"/>
    <s v="Economia"/>
    <x v="0"/>
    <d v="1971-09-19T00:00:00"/>
    <x v="2"/>
    <x v="2"/>
    <n v="29.9"/>
    <n v="54"/>
    <x v="0"/>
  </r>
  <r>
    <n v="32080730358"/>
    <s v="Juan Carlos Espinoza"/>
    <x v="1"/>
    <x v="1"/>
    <s v="Esportes"/>
    <x v="0"/>
    <d v="1987-01-17T00:00:00"/>
    <x v="2"/>
    <x v="2"/>
    <n v="29.9"/>
    <n v="39"/>
    <x v="1"/>
  </r>
  <r>
    <n v="45961352404"/>
    <s v="Juan Carlos Espinoza"/>
    <x v="1"/>
    <x v="1"/>
    <s v="Esportes"/>
    <x v="0"/>
    <d v="1984-03-29T00:00:00"/>
    <x v="1"/>
    <x v="2"/>
    <n v="29.9"/>
    <n v="42"/>
    <x v="1"/>
  </r>
  <r>
    <n v="37275901953"/>
    <s v="Juan Hernandez"/>
    <x v="1"/>
    <x v="1"/>
    <s v="Política"/>
    <x v="1"/>
    <d v="1964-03-26T00:00:00"/>
    <x v="0"/>
    <x v="1"/>
    <n v="79.900000000000006"/>
    <n v="62"/>
    <x v="0"/>
  </r>
  <r>
    <n v="50699518176"/>
    <s v="Juan Hernandez"/>
    <x v="1"/>
    <x v="1"/>
    <s v="Política"/>
    <x v="1"/>
    <d v="1989-04-10T00:00:00"/>
    <x v="0"/>
    <x v="1"/>
    <n v="79.900000000000006"/>
    <n v="36"/>
    <x v="1"/>
  </r>
  <r>
    <n v="49395647705"/>
    <s v="Liam Williams"/>
    <x v="1"/>
    <x v="1"/>
    <s v="Negócios"/>
    <x v="1"/>
    <d v="1990-03-13T00:00:00"/>
    <x v="7"/>
    <x v="1"/>
    <n v="79.900000000000006"/>
    <n v="36"/>
    <x v="1"/>
  </r>
  <r>
    <n v="90226137721"/>
    <s v="Liam Williams"/>
    <x v="1"/>
    <x v="1"/>
    <s v="Negócios"/>
    <x v="1"/>
    <d v="1974-04-23T00:00:00"/>
    <x v="5"/>
    <x v="1"/>
    <n v="79.900000000000006"/>
    <n v="51"/>
    <x v="3"/>
  </r>
  <r>
    <n v="26642966334"/>
    <s v="Lucas Oliveira"/>
    <x v="1"/>
    <x v="1"/>
    <s v="Esportes"/>
    <x v="0"/>
    <d v="1974-04-17T00:00:00"/>
    <x v="3"/>
    <x v="0"/>
    <n v="9.9"/>
    <n v="51"/>
    <x v="3"/>
  </r>
  <r>
    <n v="65320164752"/>
    <s v="Lucas Oliveira"/>
    <x v="1"/>
    <x v="1"/>
    <s v="Esportes"/>
    <x v="0"/>
    <d v="1963-05-16T00:00:00"/>
    <x v="1"/>
    <x v="0"/>
    <n v="9.9"/>
    <n v="62"/>
    <x v="0"/>
  </r>
  <r>
    <n v="35121899842"/>
    <s v="Marcelo Gomes"/>
    <x v="1"/>
    <x v="1"/>
    <s v="Economia"/>
    <x v="0"/>
    <d v="1982-10-28T00:00:00"/>
    <x v="0"/>
    <x v="2"/>
    <n v="29.9"/>
    <n v="43"/>
    <x v="1"/>
  </r>
  <r>
    <n v="90433255608"/>
    <s v="Marcelo Gomes"/>
    <x v="1"/>
    <x v="1"/>
    <s v="Economia"/>
    <x v="0"/>
    <d v="1973-01-08T00:00:00"/>
    <x v="1"/>
    <x v="2"/>
    <n v="29.9"/>
    <n v="53"/>
    <x v="3"/>
  </r>
  <r>
    <n v="46884175269"/>
    <s v="Marcelo Martins"/>
    <x v="1"/>
    <x v="1"/>
    <s v="Economia"/>
    <x v="1"/>
    <d v="1961-07-18T00:00:00"/>
    <x v="1"/>
    <x v="2"/>
    <n v="29.9"/>
    <n v="64"/>
    <x v="0"/>
  </r>
  <r>
    <n v="95580971716"/>
    <s v="Marcelo Martins"/>
    <x v="1"/>
    <x v="1"/>
    <s v="Economia"/>
    <x v="0"/>
    <d v="1989-11-23T00:00:00"/>
    <x v="3"/>
    <x v="2"/>
    <n v="29.9"/>
    <n v="36"/>
    <x v="1"/>
  </r>
  <r>
    <n v="41775805487"/>
    <s v="Mario Aguilar"/>
    <x v="1"/>
    <x v="1"/>
    <s v="Negócios"/>
    <x v="1"/>
    <d v="1981-12-26T00:00:00"/>
    <x v="7"/>
    <x v="1"/>
    <n v="79.900000000000006"/>
    <n v="44"/>
    <x v="3"/>
  </r>
  <r>
    <n v="45344898195"/>
    <s v="Mario Aguilar"/>
    <x v="1"/>
    <x v="1"/>
    <s v="Negócios"/>
    <x v="1"/>
    <d v="1993-09-03T00:00:00"/>
    <x v="0"/>
    <x v="1"/>
    <n v="79.900000000000006"/>
    <n v="32"/>
    <x v="2"/>
  </r>
  <r>
    <n v="32043808085"/>
    <s v="Matheus Almeida Santos"/>
    <x v="1"/>
    <x v="1"/>
    <s v="Negócios"/>
    <x v="0"/>
    <d v="1984-03-26T00:00:00"/>
    <x v="0"/>
    <x v="2"/>
    <n v="29.9"/>
    <n v="42"/>
    <x v="1"/>
  </r>
  <r>
    <n v="59510083298"/>
    <s v="Matheus Almeida Santos"/>
    <x v="1"/>
    <x v="1"/>
    <s v="Negócios"/>
    <x v="0"/>
    <d v="1961-08-24T00:00:00"/>
    <x v="1"/>
    <x v="2"/>
    <n v="29.9"/>
    <n v="64"/>
    <x v="0"/>
  </r>
  <r>
    <n v="41826922437"/>
    <s v="Matthew Ward"/>
    <x v="1"/>
    <x v="1"/>
    <s v="Política"/>
    <x v="1"/>
    <d v="1977-06-19T00:00:00"/>
    <x v="1"/>
    <x v="1"/>
    <n v="79.900000000000006"/>
    <n v="48"/>
    <x v="3"/>
  </r>
  <r>
    <n v="89576352486"/>
    <s v="Matthew Ward"/>
    <x v="1"/>
    <x v="1"/>
    <s v="Política"/>
    <x v="1"/>
    <d v="1995-04-11T00:00:00"/>
    <x v="2"/>
    <x v="1"/>
    <n v="79.900000000000006"/>
    <n v="30"/>
    <x v="2"/>
  </r>
  <r>
    <n v="23327518189"/>
    <s v="Michael Hall"/>
    <x v="1"/>
    <x v="1"/>
    <s v="Economia"/>
    <x v="1"/>
    <d v="1958-06-30T00:00:00"/>
    <x v="1"/>
    <x v="2"/>
    <n v="29.9"/>
    <n v="67"/>
    <x v="0"/>
  </r>
  <r>
    <n v="86978937487"/>
    <s v="Michael Hall"/>
    <x v="1"/>
    <x v="1"/>
    <s v="Economia"/>
    <x v="1"/>
    <d v="1963-12-23T00:00:00"/>
    <x v="0"/>
    <x v="2"/>
    <n v="29.9"/>
    <n v="62"/>
    <x v="0"/>
  </r>
  <r>
    <n v="31655555649"/>
    <s v="Nathan Bennett"/>
    <x v="1"/>
    <x v="1"/>
    <s v="Negócios"/>
    <x v="1"/>
    <d v="1983-04-14T00:00:00"/>
    <x v="1"/>
    <x v="1"/>
    <n v="79.900000000000006"/>
    <n v="42"/>
    <x v="1"/>
  </r>
  <r>
    <n v="41877616889"/>
    <s v="Nathan Bennett"/>
    <x v="1"/>
    <x v="1"/>
    <s v="Negócios"/>
    <x v="1"/>
    <d v="1980-10-05T00:00:00"/>
    <x v="1"/>
    <x v="1"/>
    <n v="79.900000000000006"/>
    <n v="45"/>
    <x v="3"/>
  </r>
  <r>
    <n v="40397347853"/>
    <s v="Paisley King"/>
    <x v="1"/>
    <x v="1"/>
    <s v="Agronegócio"/>
    <x v="0"/>
    <d v="1987-06-23T00:00:00"/>
    <x v="3"/>
    <x v="1"/>
    <n v="79.900000000000006"/>
    <n v="38"/>
    <x v="1"/>
  </r>
  <r>
    <n v="81841428890"/>
    <s v="Paisley King"/>
    <x v="1"/>
    <x v="1"/>
    <s v="Agronegócio"/>
    <x v="0"/>
    <d v="1963-09-16T00:00:00"/>
    <x v="0"/>
    <x v="1"/>
    <n v="79.900000000000006"/>
    <n v="62"/>
    <x v="0"/>
  </r>
  <r>
    <n v="41395444838"/>
    <s v="Pedro Costa"/>
    <x v="1"/>
    <x v="1"/>
    <s v="Negócios"/>
    <x v="0"/>
    <d v="1956-09-22T00:00:00"/>
    <x v="0"/>
    <x v="2"/>
    <n v="29.9"/>
    <n v="69"/>
    <x v="0"/>
  </r>
  <r>
    <n v="60525979542"/>
    <s v="Pedro Costa"/>
    <x v="1"/>
    <x v="1"/>
    <s v="Negócios"/>
    <x v="0"/>
    <d v="1995-06-12T00:00:00"/>
    <x v="6"/>
    <x v="2"/>
    <n v="29.9"/>
    <n v="30"/>
    <x v="2"/>
  </r>
  <r>
    <n v="41158621693"/>
    <s v="Pedro Martins"/>
    <x v="1"/>
    <x v="1"/>
    <s v="Finanças"/>
    <x v="1"/>
    <d v="1979-09-20T00:00:00"/>
    <x v="1"/>
    <x v="2"/>
    <n v="29.9"/>
    <n v="46"/>
    <x v="3"/>
  </r>
  <r>
    <n v="51711010382"/>
    <s v="Pedro Martins"/>
    <x v="1"/>
    <x v="1"/>
    <s v="Finanças"/>
    <x v="1"/>
    <d v="1974-07-18T00:00:00"/>
    <x v="1"/>
    <x v="2"/>
    <n v="29.9"/>
    <n v="51"/>
    <x v="3"/>
  </r>
  <r>
    <n v="29608724794"/>
    <s v="Pedro Rodrigues"/>
    <x v="1"/>
    <x v="1"/>
    <s v="Economia"/>
    <x v="0"/>
    <d v="1982-03-22T00:00:00"/>
    <x v="1"/>
    <x v="0"/>
    <n v="9.9"/>
    <n v="44"/>
    <x v="3"/>
  </r>
  <r>
    <n v="57327520985"/>
    <s v="Pedro Rodrigues"/>
    <x v="1"/>
    <x v="1"/>
    <s v="Economia"/>
    <x v="0"/>
    <d v="1988-11-04T00:00:00"/>
    <x v="2"/>
    <x v="0"/>
    <n v="9.9"/>
    <n v="37"/>
    <x v="1"/>
  </r>
  <r>
    <n v="39205147195"/>
    <s v="Pedro Santos"/>
    <x v="1"/>
    <x v="1"/>
    <s v="Economia"/>
    <x v="0"/>
    <d v="1956-05-24T00:00:00"/>
    <x v="0"/>
    <x v="3"/>
    <n v="35.9"/>
    <n v="69"/>
    <x v="0"/>
  </r>
  <r>
    <n v="71629613903"/>
    <s v="Pedro Santos"/>
    <x v="1"/>
    <x v="1"/>
    <s v="Economia"/>
    <x v="0"/>
    <d v="1999-11-25T00:00:00"/>
    <x v="1"/>
    <x v="3"/>
    <n v="35.9"/>
    <n v="26"/>
    <x v="2"/>
  </r>
  <r>
    <n v="23396488132"/>
    <s v="Rafael Ferreira Lima"/>
    <x v="1"/>
    <x v="1"/>
    <s v="Economia"/>
    <x v="0"/>
    <d v="1994-02-25T00:00:00"/>
    <x v="1"/>
    <x v="3"/>
    <n v="35.9"/>
    <n v="32"/>
    <x v="2"/>
  </r>
  <r>
    <n v="80343263498"/>
    <s v="Rafael Ferreira Lima"/>
    <x v="1"/>
    <x v="1"/>
    <s v="Economia"/>
    <x v="0"/>
    <d v="1963-08-31T00:00:00"/>
    <x v="4"/>
    <x v="3"/>
    <n v="35.9"/>
    <n v="62"/>
    <x v="0"/>
  </r>
  <r>
    <n v="33391594252"/>
    <s v="Rafael Pereira"/>
    <x v="1"/>
    <x v="1"/>
    <s v="Política"/>
    <x v="1"/>
    <d v="1978-03-28T00:00:00"/>
    <x v="0"/>
    <x v="1"/>
    <n v="79.900000000000006"/>
    <n v="48"/>
    <x v="3"/>
  </r>
  <r>
    <n v="39316864102"/>
    <s v="Rafael Pereira"/>
    <x v="1"/>
    <x v="1"/>
    <s v="Política"/>
    <x v="1"/>
    <d v="1980-06-27T00:00:00"/>
    <x v="0"/>
    <x v="1"/>
    <n v="79.900000000000006"/>
    <n v="45"/>
    <x v="3"/>
  </r>
  <r>
    <n v="48465087625"/>
    <s v="Rafael Santos"/>
    <x v="1"/>
    <x v="1"/>
    <s v="Agronegócio"/>
    <x v="0"/>
    <d v="1990-10-02T00:00:00"/>
    <x v="3"/>
    <x v="3"/>
    <n v="35.9"/>
    <n v="35"/>
    <x v="1"/>
  </r>
  <r>
    <n v="78203672011"/>
    <s v="Rafael Santos"/>
    <x v="1"/>
    <x v="1"/>
    <s v="Agronegócio"/>
    <x v="0"/>
    <d v="1979-04-25T00:00:00"/>
    <x v="1"/>
    <x v="3"/>
    <n v="35.9"/>
    <n v="46"/>
    <x v="3"/>
  </r>
  <r>
    <n v="22502656506"/>
    <s v="Robert Watson"/>
    <x v="1"/>
    <x v="1"/>
    <s v="Finanças"/>
    <x v="0"/>
    <d v="1993-03-07T00:00:00"/>
    <x v="0"/>
    <x v="2"/>
    <n v="29.9"/>
    <n v="33"/>
    <x v="2"/>
  </r>
  <r>
    <n v="70125809974"/>
    <s v="Robert Watson"/>
    <x v="1"/>
    <x v="1"/>
    <s v="Finanças"/>
    <x v="0"/>
    <d v="1968-08-10T00:00:00"/>
    <x v="0"/>
    <x v="2"/>
    <n v="29.9"/>
    <n v="57"/>
    <x v="0"/>
  </r>
  <r>
    <n v="39357979099"/>
    <s v="Rodrigo Torres"/>
    <x v="1"/>
    <x v="1"/>
    <s v="Economia"/>
    <x v="0"/>
    <d v="1977-04-09T00:00:00"/>
    <x v="0"/>
    <x v="0"/>
    <n v="9.9"/>
    <n v="48"/>
    <x v="3"/>
  </r>
  <r>
    <n v="43329901726"/>
    <s v="Rodrigo Torres"/>
    <x v="1"/>
    <x v="1"/>
    <s v="Economia"/>
    <x v="0"/>
    <d v="1967-03-06T00:00:00"/>
    <x v="0"/>
    <x v="0"/>
    <n v="9.9"/>
    <n v="59"/>
    <x v="0"/>
  </r>
  <r>
    <n v="26887944990"/>
    <s v="Rosa Molina"/>
    <x v="1"/>
    <x v="1"/>
    <s v="Agronegócio"/>
    <x v="0"/>
    <d v="1970-11-25T00:00:00"/>
    <x v="1"/>
    <x v="3"/>
    <n v="35.9"/>
    <n v="55"/>
    <x v="0"/>
  </r>
  <r>
    <n v="94266497658"/>
    <s v="Rosa Molina"/>
    <x v="1"/>
    <x v="1"/>
    <s v="Agronegócio"/>
    <x v="0"/>
    <d v="1992-04-21T00:00:00"/>
    <x v="1"/>
    <x v="3"/>
    <n v="35.9"/>
    <n v="33"/>
    <x v="2"/>
  </r>
  <r>
    <n v="30904162810"/>
    <s v="Ryan Foster"/>
    <x v="1"/>
    <x v="1"/>
    <s v="Negócios"/>
    <x v="0"/>
    <d v="1970-10-01T00:00:00"/>
    <x v="0"/>
    <x v="3"/>
    <n v="35.9"/>
    <n v="55"/>
    <x v="0"/>
  </r>
  <r>
    <n v="87196399314"/>
    <s v="Ryan Foster"/>
    <x v="1"/>
    <x v="1"/>
    <s v="Negócios"/>
    <x v="0"/>
    <d v="1963-04-06T00:00:00"/>
    <x v="3"/>
    <x v="3"/>
    <n v="35.9"/>
    <n v="62"/>
    <x v="0"/>
  </r>
  <r>
    <n v="38480201900"/>
    <s v="Samuel Nelson"/>
    <x v="1"/>
    <x v="1"/>
    <s v="Política"/>
    <x v="1"/>
    <d v="1983-04-23T00:00:00"/>
    <x v="6"/>
    <x v="1"/>
    <n v="79.900000000000006"/>
    <n v="42"/>
    <x v="1"/>
  </r>
  <r>
    <n v="42678380444"/>
    <s v="Samuel Nelson"/>
    <x v="1"/>
    <x v="1"/>
    <s v="Política"/>
    <x v="1"/>
    <d v="1977-07-03T00:00:00"/>
    <x v="4"/>
    <x v="1"/>
    <n v="79.900000000000006"/>
    <n v="48"/>
    <x v="3"/>
  </r>
  <r>
    <n v="30353673725"/>
    <s v="Thomas Barnes"/>
    <x v="1"/>
    <x v="1"/>
    <s v="Política"/>
    <x v="1"/>
    <d v="1995-09-21T00:00:00"/>
    <x v="4"/>
    <x v="1"/>
    <n v="79.900000000000006"/>
    <n v="30"/>
    <x v="2"/>
  </r>
  <r>
    <n v="50008008920"/>
    <s v="Victor Maldonado"/>
    <x v="1"/>
    <x v="1"/>
    <s v="Política"/>
    <x v="0"/>
    <d v="1961-03-15T00:00:00"/>
    <x v="2"/>
    <x v="1"/>
    <n v="79.900000000000006"/>
    <n v="65"/>
    <x v="0"/>
  </r>
  <r>
    <n v="84913009166"/>
    <s v="Victor Maldonado"/>
    <x v="1"/>
    <x v="1"/>
    <s v="Política"/>
    <x v="0"/>
    <d v="1987-03-25T00:00:00"/>
    <x v="3"/>
    <x v="1"/>
    <n v="79.900000000000006"/>
    <n v="39"/>
    <x v="1"/>
  </r>
  <r>
    <n v="22251128276"/>
    <s v="William Fernandes"/>
    <x v="1"/>
    <x v="1"/>
    <s v="Esportes"/>
    <x v="0"/>
    <d v="1957-10-25T00:00:00"/>
    <x v="0"/>
    <x v="2"/>
    <n v="29.9"/>
    <n v="68"/>
    <x v="0"/>
  </r>
  <r>
    <n v="58903912727"/>
    <s v="William Fernandes"/>
    <x v="1"/>
    <x v="1"/>
    <s v="Esportes"/>
    <x v="0"/>
    <d v="1973-11-08T00:00:00"/>
    <x v="7"/>
    <x v="2"/>
    <n v="29.9"/>
    <n v="52"/>
    <x v="3"/>
  </r>
  <r>
    <n v="30468143545"/>
    <s v="William Gomes"/>
    <x v="1"/>
    <x v="1"/>
    <s v="Política"/>
    <x v="1"/>
    <d v="1985-06-13T00:00:00"/>
    <x v="1"/>
    <x v="1"/>
    <n v="79.900000000000006"/>
    <n v="40"/>
    <x v="1"/>
  </r>
  <r>
    <n v="75490586916"/>
    <s v="William Gomes"/>
    <x v="1"/>
    <x v="1"/>
    <s v="Política"/>
    <x v="1"/>
    <d v="1989-05-13T00:00:00"/>
    <x v="5"/>
    <x v="1"/>
    <n v="79.900000000000006"/>
    <n v="36"/>
    <x v="1"/>
  </r>
  <r>
    <n v="39161320210"/>
    <s v="William Rodrigues"/>
    <x v="1"/>
    <x v="1"/>
    <s v="Negócios"/>
    <x v="0"/>
    <d v="1986-05-30T00:00:00"/>
    <x v="0"/>
    <x v="0"/>
    <n v="9.9"/>
    <n v="39"/>
    <x v="1"/>
  </r>
  <r>
    <n v="51648535772"/>
    <s v="William Rodrigues"/>
    <x v="1"/>
    <x v="1"/>
    <s v="Negócios"/>
    <x v="0"/>
    <d v="1964-05-13T00:00:00"/>
    <x v="1"/>
    <x v="0"/>
    <n v="9.9"/>
    <n v="61"/>
    <x v="0"/>
  </r>
  <r>
    <n v="43008928497"/>
    <s v="Zachary Simmons"/>
    <x v="1"/>
    <x v="1"/>
    <s v="Negócios"/>
    <x v="1"/>
    <d v="1987-11-16T00:00:00"/>
    <x v="0"/>
    <x v="0"/>
    <n v="9.9"/>
    <n v="38"/>
    <x v="1"/>
  </r>
  <r>
    <n v="47129833052"/>
    <s v="Zachary Simmons"/>
    <x v="1"/>
    <x v="1"/>
    <s v="Negócios"/>
    <x v="1"/>
    <d v="1967-09-09T00:00:00"/>
    <x v="0"/>
    <x v="0"/>
    <n v="9.9"/>
    <n v="58"/>
    <x v="0"/>
  </r>
  <r>
    <n v="28452088771"/>
    <s v="Zoey Ramirez"/>
    <x v="1"/>
    <x v="1"/>
    <s v="Economia"/>
    <x v="0"/>
    <d v="1983-07-04T00:00:00"/>
    <x v="5"/>
    <x v="0"/>
    <n v="9.9"/>
    <n v="42"/>
    <x v="1"/>
  </r>
  <r>
    <n v="37625766880"/>
    <s v="Zoey Ramirez"/>
    <x v="1"/>
    <x v="1"/>
    <s v="Economia"/>
    <x v="0"/>
    <d v="1963-05-14T00:00:00"/>
    <x v="0"/>
    <x v="0"/>
    <n v="9.9"/>
    <n v="62"/>
    <x v="0"/>
  </r>
  <r>
    <n v="44780102027"/>
    <s v="Ana Karen Pacheco"/>
    <x v="0"/>
    <x v="2"/>
    <s v="Negócios"/>
    <x v="1"/>
    <d v="1987-12-12T00:00:00"/>
    <x v="2"/>
    <x v="0"/>
    <n v="9.9"/>
    <n v="38"/>
    <x v="1"/>
  </r>
  <r>
    <n v="49307528124"/>
    <s v="Ana Ruiz"/>
    <x v="0"/>
    <x v="2"/>
    <s v="Agronegócio"/>
    <x v="2"/>
    <d v="1987-07-05T00:00:00"/>
    <x v="0"/>
    <x v="0"/>
    <n v="9.9"/>
    <n v="38"/>
    <x v="1"/>
  </r>
  <r>
    <n v="85098405832"/>
    <s v="Ana Ruiz"/>
    <x v="0"/>
    <x v="2"/>
    <s v="Agronegócio"/>
    <x v="2"/>
    <d v="1980-12-11T00:00:00"/>
    <x v="7"/>
    <x v="0"/>
    <n v="9.9"/>
    <n v="45"/>
    <x v="3"/>
  </r>
  <r>
    <n v="41472299450"/>
    <s v="Avery Roberts"/>
    <x v="0"/>
    <x v="2"/>
    <s v="Negócios"/>
    <x v="2"/>
    <d v="1989-03-15T00:00:00"/>
    <x v="0"/>
    <x v="2"/>
    <n v="29.9"/>
    <n v="37"/>
    <x v="1"/>
  </r>
  <r>
    <n v="56102669696"/>
    <s v="Avery Roberts"/>
    <x v="0"/>
    <x v="2"/>
    <s v="Negócios"/>
    <x v="2"/>
    <d v="1978-02-02T00:00:00"/>
    <x v="0"/>
    <x v="2"/>
    <n v="29.9"/>
    <n v="48"/>
    <x v="3"/>
  </r>
  <r>
    <n v="48432971475"/>
    <s v="Beatriz Ramos"/>
    <x v="0"/>
    <x v="2"/>
    <s v="Finanças"/>
    <x v="0"/>
    <d v="1960-06-29T00:00:00"/>
    <x v="0"/>
    <x v="0"/>
    <n v="9.9"/>
    <n v="65"/>
    <x v="0"/>
  </r>
  <r>
    <n v="74716763098"/>
    <s v="Beatriz Ramos"/>
    <x v="0"/>
    <x v="2"/>
    <s v="Finanças"/>
    <x v="0"/>
    <d v="1976-09-05T00:00:00"/>
    <x v="7"/>
    <x v="0"/>
    <n v="9.9"/>
    <n v="49"/>
    <x v="3"/>
  </r>
  <r>
    <n v="53398120004"/>
    <s v="Débora Martins"/>
    <x v="0"/>
    <x v="2"/>
    <s v="Negócios"/>
    <x v="0"/>
    <d v="1985-09-14T00:00:00"/>
    <x v="1"/>
    <x v="0"/>
    <n v="9.9"/>
    <n v="40"/>
    <x v="1"/>
  </r>
  <r>
    <n v="55400526908"/>
    <s v="Débora Martins"/>
    <x v="0"/>
    <x v="2"/>
    <s v="Negócios"/>
    <x v="0"/>
    <d v="1986-12-07T00:00:00"/>
    <x v="1"/>
    <x v="0"/>
    <n v="9.9"/>
    <n v="39"/>
    <x v="1"/>
  </r>
  <r>
    <n v="55453919588"/>
    <s v="Gabriela Torres"/>
    <x v="0"/>
    <x v="2"/>
    <s v="Finanças"/>
    <x v="0"/>
    <d v="1972-11-22T00:00:00"/>
    <x v="1"/>
    <x v="2"/>
    <n v="29.9"/>
    <n v="53"/>
    <x v="3"/>
  </r>
  <r>
    <n v="97913428100"/>
    <s v="Gabriela Torres"/>
    <x v="0"/>
    <x v="2"/>
    <s v="Finanças"/>
    <x v="0"/>
    <d v="1999-10-18T00:00:00"/>
    <x v="3"/>
    <x v="2"/>
    <n v="29.9"/>
    <n v="26"/>
    <x v="2"/>
  </r>
  <r>
    <n v="23076469898"/>
    <s v="Giovanna Oliveira"/>
    <x v="0"/>
    <x v="2"/>
    <s v="Finanças"/>
    <x v="0"/>
    <d v="1972-08-23T00:00:00"/>
    <x v="0"/>
    <x v="2"/>
    <n v="29.9"/>
    <n v="53"/>
    <x v="3"/>
  </r>
  <r>
    <n v="92908961862"/>
    <s v="Giovanna Oliveira"/>
    <x v="0"/>
    <x v="2"/>
    <s v="Finanças"/>
    <x v="0"/>
    <d v="1973-06-26T00:00:00"/>
    <x v="7"/>
    <x v="2"/>
    <n v="29.9"/>
    <n v="52"/>
    <x v="3"/>
  </r>
  <r>
    <n v="33875188130"/>
    <s v="Laura Ribeiro Lima"/>
    <x v="0"/>
    <x v="2"/>
    <s v="Negócios"/>
    <x v="0"/>
    <d v="1976-03-26T00:00:00"/>
    <x v="1"/>
    <x v="3"/>
    <n v="35.9"/>
    <n v="50"/>
    <x v="3"/>
  </r>
  <r>
    <n v="37464613995"/>
    <s v="Laura Ribeiro Lima"/>
    <x v="0"/>
    <x v="2"/>
    <s v="Negócios"/>
    <x v="0"/>
    <d v="1980-09-02T00:00:00"/>
    <x v="0"/>
    <x v="3"/>
    <n v="35.9"/>
    <n v="45"/>
    <x v="3"/>
  </r>
  <r>
    <n v="36548470324"/>
    <s v="Lorena Chavez"/>
    <x v="0"/>
    <x v="2"/>
    <s v="Negócios"/>
    <x v="0"/>
    <d v="1974-03-02T00:00:00"/>
    <x v="2"/>
    <x v="2"/>
    <n v="29.9"/>
    <n v="52"/>
    <x v="3"/>
  </r>
  <r>
    <n v="54799023278"/>
    <s v="Lorena Chavez"/>
    <x v="0"/>
    <x v="2"/>
    <s v="Negócios"/>
    <x v="0"/>
    <d v="1967-12-27T00:00:00"/>
    <x v="0"/>
    <x v="2"/>
    <n v="29.9"/>
    <n v="58"/>
    <x v="0"/>
  </r>
  <r>
    <n v="48217353343"/>
    <s v="Maria Fernanda Guerra"/>
    <x v="0"/>
    <x v="2"/>
    <s v="Negócios"/>
    <x v="0"/>
    <d v="1960-08-05T00:00:00"/>
    <x v="0"/>
    <x v="3"/>
    <n v="35.9"/>
    <n v="65"/>
    <x v="0"/>
  </r>
  <r>
    <n v="90135135538"/>
    <s v="Maria Fernanda Guerra"/>
    <x v="0"/>
    <x v="2"/>
    <s v="Negócios"/>
    <x v="0"/>
    <d v="1963-10-12T00:00:00"/>
    <x v="2"/>
    <x v="3"/>
    <n v="35.9"/>
    <n v="62"/>
    <x v="0"/>
  </r>
  <r>
    <n v="40891216129"/>
    <s v="Sandra Oliveira"/>
    <x v="0"/>
    <x v="2"/>
    <s v="Negócios"/>
    <x v="0"/>
    <d v="1984-01-22T00:00:00"/>
    <x v="4"/>
    <x v="0"/>
    <n v="9.9"/>
    <n v="42"/>
    <x v="1"/>
  </r>
  <r>
    <n v="53842530303"/>
    <s v="Sandra Oliveira"/>
    <x v="0"/>
    <x v="2"/>
    <s v="Negócios"/>
    <x v="0"/>
    <d v="1994-01-12T00:00:00"/>
    <x v="2"/>
    <x v="0"/>
    <n v="9.9"/>
    <n v="32"/>
    <x v="2"/>
  </r>
  <r>
    <n v="39660449593"/>
    <s v="Skylar Turner"/>
    <x v="0"/>
    <x v="2"/>
    <s v="Esportes"/>
    <x v="2"/>
    <d v="1992-11-29T00:00:00"/>
    <x v="1"/>
    <x v="0"/>
    <n v="9.9"/>
    <n v="33"/>
    <x v="2"/>
  </r>
  <r>
    <n v="42955842741"/>
    <s v="Skylar Turner"/>
    <x v="0"/>
    <x v="2"/>
    <s v="Esportes"/>
    <x v="2"/>
    <d v="1972-12-20T00:00:00"/>
    <x v="1"/>
    <x v="0"/>
    <n v="9.9"/>
    <n v="53"/>
    <x v="3"/>
  </r>
  <r>
    <n v="38242427646"/>
    <s v="Sofia King"/>
    <x v="0"/>
    <x v="2"/>
    <s v="Agronegócio"/>
    <x v="0"/>
    <d v="1973-10-19T00:00:00"/>
    <x v="0"/>
    <x v="3"/>
    <n v="35.9"/>
    <n v="52"/>
    <x v="3"/>
  </r>
  <r>
    <n v="26713299497"/>
    <s v="Aaron Perry"/>
    <x v="1"/>
    <x v="2"/>
    <s v="Negócios"/>
    <x v="0"/>
    <d v="1963-08-08T00:00:00"/>
    <x v="7"/>
    <x v="3"/>
    <n v="35.9"/>
    <n v="62"/>
    <x v="0"/>
  </r>
  <r>
    <n v="57875961749"/>
    <s v="Aaron Perry"/>
    <x v="1"/>
    <x v="2"/>
    <s v="Negócios"/>
    <x v="0"/>
    <d v="1974-02-23T00:00:00"/>
    <x v="0"/>
    <x v="3"/>
    <n v="35.9"/>
    <n v="52"/>
    <x v="3"/>
  </r>
  <r>
    <n v="39724964915"/>
    <s v="Alexander Lewis"/>
    <x v="1"/>
    <x v="2"/>
    <s v="Política"/>
    <x v="0"/>
    <d v="1965-10-29T00:00:00"/>
    <x v="1"/>
    <x v="1"/>
    <n v="79.900000000000006"/>
    <n v="60"/>
    <x v="0"/>
  </r>
  <r>
    <n v="32558610072"/>
    <s v="Ana Silva"/>
    <x v="1"/>
    <x v="2"/>
    <s v="Finanças"/>
    <x v="1"/>
    <d v="1981-03-26T00:00:00"/>
    <x v="4"/>
    <x v="2"/>
    <n v="29.9"/>
    <n v="45"/>
    <x v="3"/>
  </r>
  <r>
    <n v="49948498268"/>
    <s v="Bernardo Almeida"/>
    <x v="1"/>
    <x v="2"/>
    <s v="Finanças"/>
    <x v="0"/>
    <d v="1964-06-26T00:00:00"/>
    <x v="0"/>
    <x v="2"/>
    <n v="29.9"/>
    <n v="61"/>
    <x v="0"/>
  </r>
  <r>
    <n v="71277357983"/>
    <s v="Bernardo Almeida"/>
    <x v="1"/>
    <x v="2"/>
    <s v="Finanças"/>
    <x v="0"/>
    <d v="1967-06-10T00:00:00"/>
    <x v="0"/>
    <x v="2"/>
    <n v="29.9"/>
    <n v="58"/>
    <x v="0"/>
  </r>
  <r>
    <n v="49477339063"/>
    <s v="David Carter"/>
    <x v="1"/>
    <x v="2"/>
    <s v="Negócios"/>
    <x v="0"/>
    <d v="1965-10-17T00:00:00"/>
    <x v="1"/>
    <x v="2"/>
    <n v="29.9"/>
    <n v="60"/>
    <x v="0"/>
  </r>
  <r>
    <n v="81477810082"/>
    <s v="David Carter"/>
    <x v="1"/>
    <x v="2"/>
    <s v="Negócios"/>
    <x v="0"/>
    <d v="1994-11-20T00:00:00"/>
    <x v="0"/>
    <x v="2"/>
    <n v="29.9"/>
    <n v="31"/>
    <x v="2"/>
  </r>
  <r>
    <n v="30383272945"/>
    <s v="Dylan Bell"/>
    <x v="1"/>
    <x v="2"/>
    <s v="Finanças"/>
    <x v="0"/>
    <d v="1994-06-29T00:00:00"/>
    <x v="2"/>
    <x v="2"/>
    <n v="29.9"/>
    <n v="31"/>
    <x v="2"/>
  </r>
  <r>
    <n v="72900858413"/>
    <s v="Dylan Bell"/>
    <x v="1"/>
    <x v="2"/>
    <s v="Finanças"/>
    <x v="0"/>
    <d v="1981-10-14T00:00:00"/>
    <x v="0"/>
    <x v="2"/>
    <n v="29.9"/>
    <n v="44"/>
    <x v="3"/>
  </r>
  <r>
    <n v="47208400662"/>
    <s v="Emerson Costa"/>
    <x v="1"/>
    <x v="2"/>
    <s v="Esportes"/>
    <x v="2"/>
    <d v="1978-02-28T00:00:00"/>
    <x v="0"/>
    <x v="0"/>
    <n v="9.9"/>
    <n v="48"/>
    <x v="3"/>
  </r>
  <r>
    <n v="60235696152"/>
    <s v="Emerson Costa"/>
    <x v="1"/>
    <x v="2"/>
    <s v="Esportes"/>
    <x v="2"/>
    <d v="1966-02-16T00:00:00"/>
    <x v="3"/>
    <x v="0"/>
    <n v="9.9"/>
    <n v="60"/>
    <x v="0"/>
  </r>
  <r>
    <n v="23901903684"/>
    <s v="Emerson Oliveira"/>
    <x v="1"/>
    <x v="2"/>
    <s v="Negócios"/>
    <x v="0"/>
    <d v="1985-03-27T00:00:00"/>
    <x v="0"/>
    <x v="3"/>
    <n v="35.9"/>
    <n v="41"/>
    <x v="1"/>
  </r>
  <r>
    <n v="36829497298"/>
    <s v="Emerson Oliveira"/>
    <x v="1"/>
    <x v="2"/>
    <s v="Negócios"/>
    <x v="0"/>
    <d v="1981-10-24T00:00:00"/>
    <x v="7"/>
    <x v="3"/>
    <n v="35.9"/>
    <n v="44"/>
    <x v="3"/>
  </r>
  <r>
    <n v="26133183584"/>
    <s v="Ethan White"/>
    <x v="1"/>
    <x v="2"/>
    <s v="Negócios"/>
    <x v="0"/>
    <d v="1989-08-21T00:00:00"/>
    <x v="0"/>
    <x v="0"/>
    <n v="9.9"/>
    <n v="36"/>
    <x v="1"/>
  </r>
  <r>
    <n v="52730416333"/>
    <s v="Ethan White"/>
    <x v="1"/>
    <x v="2"/>
    <s v="Negócios"/>
    <x v="0"/>
    <d v="1988-05-16T00:00:00"/>
    <x v="0"/>
    <x v="0"/>
    <n v="9.9"/>
    <n v="37"/>
    <x v="1"/>
  </r>
  <r>
    <n v="26748985558"/>
    <s v="José da Silva"/>
    <x v="1"/>
    <x v="2"/>
    <s v="Agronegócio"/>
    <x v="2"/>
    <d v="1961-02-10T00:00:00"/>
    <x v="1"/>
    <x v="0"/>
    <n v="9.9"/>
    <n v="65"/>
    <x v="0"/>
  </r>
  <r>
    <n v="59825274523"/>
    <s v="José da Silva"/>
    <x v="1"/>
    <x v="2"/>
    <s v="Agronegócio"/>
    <x v="2"/>
    <d v="1981-11-24T00:00:00"/>
    <x v="5"/>
    <x v="0"/>
    <n v="9.9"/>
    <n v="44"/>
    <x v="3"/>
  </r>
  <r>
    <n v="33959101715"/>
    <s v="José Oliveira"/>
    <x v="1"/>
    <x v="2"/>
    <s v="Esportes"/>
    <x v="2"/>
    <d v="1960-03-01T00:00:00"/>
    <x v="1"/>
    <x v="0"/>
    <n v="9.9"/>
    <n v="66"/>
    <x v="0"/>
  </r>
  <r>
    <n v="75647720892"/>
    <s v="José Oliveira"/>
    <x v="1"/>
    <x v="2"/>
    <s v="Esportes"/>
    <x v="2"/>
    <d v="1974-05-04T00:00:00"/>
    <x v="5"/>
    <x v="0"/>
    <n v="9.9"/>
    <n v="51"/>
    <x v="3"/>
  </r>
  <r>
    <n v="23347171291"/>
    <s v="Luis Reyes"/>
    <x v="1"/>
    <x v="2"/>
    <s v="Finanças"/>
    <x v="0"/>
    <d v="1978-06-04T00:00:00"/>
    <x v="1"/>
    <x v="0"/>
    <n v="9.9"/>
    <n v="47"/>
    <x v="3"/>
  </r>
  <r>
    <n v="69160901332"/>
    <s v="Luis Reyes"/>
    <x v="1"/>
    <x v="2"/>
    <s v="Finanças"/>
    <x v="0"/>
    <d v="1982-01-07T00:00:00"/>
    <x v="1"/>
    <x v="0"/>
    <n v="9.9"/>
    <n v="44"/>
    <x v="3"/>
  </r>
  <r>
    <n v="35417799912"/>
    <s v="Marcelo Oliveira"/>
    <x v="1"/>
    <x v="2"/>
    <s v="Finanças"/>
    <x v="0"/>
    <d v="1963-07-24T00:00:00"/>
    <x v="0"/>
    <x v="2"/>
    <n v="29.9"/>
    <n v="62"/>
    <x v="0"/>
  </r>
  <r>
    <n v="92967114176"/>
    <s v="Marcelo Oliveira"/>
    <x v="1"/>
    <x v="2"/>
    <s v="Finanças"/>
    <x v="0"/>
    <d v="1993-07-20T00:00:00"/>
    <x v="1"/>
    <x v="2"/>
    <n v="29.9"/>
    <n v="32"/>
    <x v="2"/>
  </r>
  <r>
    <n v="30493961253"/>
    <s v="Marcelo Rodrigues"/>
    <x v="1"/>
    <x v="2"/>
    <s v="Agronegócio"/>
    <x v="2"/>
    <d v="1975-04-17T00:00:00"/>
    <x v="2"/>
    <x v="0"/>
    <n v="9.9"/>
    <n v="50"/>
    <x v="3"/>
  </r>
  <r>
    <n v="34264176742"/>
    <s v="Marcelo Rodrigues"/>
    <x v="1"/>
    <x v="2"/>
    <s v="Agronegócio"/>
    <x v="2"/>
    <d v="1976-10-04T00:00:00"/>
    <x v="0"/>
    <x v="0"/>
    <n v="9.9"/>
    <n v="49"/>
    <x v="3"/>
  </r>
  <r>
    <n v="42434329390"/>
    <s v="Nicholas Foster"/>
    <x v="1"/>
    <x v="2"/>
    <s v="Negócios"/>
    <x v="0"/>
    <d v="1965-11-12T00:00:00"/>
    <x v="3"/>
    <x v="0"/>
    <n v="9.9"/>
    <n v="60"/>
    <x v="0"/>
  </r>
  <r>
    <n v="56991862790"/>
    <s v="Nicholas Foster"/>
    <x v="1"/>
    <x v="2"/>
    <s v="Negócios"/>
    <x v="0"/>
    <d v="1987-11-07T00:00:00"/>
    <x v="3"/>
    <x v="0"/>
    <n v="9.9"/>
    <n v="38"/>
    <x v="1"/>
  </r>
  <r>
    <n v="50296433971"/>
    <s v="Pedro Almeida"/>
    <x v="1"/>
    <x v="2"/>
    <s v="Finanças"/>
    <x v="0"/>
    <d v="1984-06-24T00:00:00"/>
    <x v="5"/>
    <x v="2"/>
    <n v="29.9"/>
    <n v="41"/>
    <x v="1"/>
  </r>
  <r>
    <n v="51537734484"/>
    <s v="Pedro Pereira"/>
    <x v="1"/>
    <x v="2"/>
    <s v="Negócios"/>
    <x v="0"/>
    <d v="1961-04-21T00:00:00"/>
    <x v="7"/>
    <x v="0"/>
    <n v="9.9"/>
    <n v="64"/>
    <x v="0"/>
  </r>
  <r>
    <n v="54506367236"/>
    <s v="Pedro Pereira"/>
    <x v="1"/>
    <x v="2"/>
    <s v="Negócios"/>
    <x v="0"/>
    <d v="1964-09-14T00:00:00"/>
    <x v="1"/>
    <x v="0"/>
    <n v="9.9"/>
    <n v="61"/>
    <x v="0"/>
  </r>
  <r>
    <n v="30735636076"/>
    <s v="Rafael Gomes"/>
    <x v="1"/>
    <x v="2"/>
    <s v="Negócios"/>
    <x v="0"/>
    <d v="1985-11-10T00:00:00"/>
    <x v="0"/>
    <x v="2"/>
    <n v="29.9"/>
    <n v="40"/>
    <x v="1"/>
  </r>
  <r>
    <n v="60015297037"/>
    <s v="Rafael Gomes"/>
    <x v="1"/>
    <x v="2"/>
    <s v="Negócios"/>
    <x v="0"/>
    <d v="1993-10-25T00:00:00"/>
    <x v="0"/>
    <x v="2"/>
    <n v="29.9"/>
    <n v="32"/>
    <x v="2"/>
  </r>
  <r>
    <n v="50443594586"/>
    <s v="Ramon Flores"/>
    <x v="1"/>
    <x v="2"/>
    <s v="Esportes"/>
    <x v="2"/>
    <d v="1982-12-17T00:00:00"/>
    <x v="1"/>
    <x v="0"/>
    <n v="9.9"/>
    <n v="43"/>
    <x v="1"/>
  </r>
  <r>
    <n v="98697109512"/>
    <s v="Ramon Flores"/>
    <x v="1"/>
    <x v="2"/>
    <s v="Esportes"/>
    <x v="2"/>
    <d v="1989-01-15T00:00:00"/>
    <x v="1"/>
    <x v="0"/>
    <n v="9.9"/>
    <n v="37"/>
    <x v="1"/>
  </r>
  <r>
    <n v="46344330480"/>
    <s v="Roberto Fuentes"/>
    <x v="1"/>
    <x v="2"/>
    <s v="Negócios"/>
    <x v="0"/>
    <d v="1993-04-24T00:00:00"/>
    <x v="5"/>
    <x v="0"/>
    <n v="9.9"/>
    <n v="32"/>
    <x v="2"/>
  </r>
  <r>
    <n v="97520904627"/>
    <s v="Roberto Fuentes"/>
    <x v="1"/>
    <x v="2"/>
    <s v="Negócios"/>
    <x v="0"/>
    <d v="1978-11-18T00:00:00"/>
    <x v="0"/>
    <x v="0"/>
    <n v="9.9"/>
    <n v="47"/>
    <x v="3"/>
  </r>
  <r>
    <n v="39613225496"/>
    <s v="Rodrigo Mora"/>
    <x v="1"/>
    <x v="2"/>
    <s v="Negócios"/>
    <x v="2"/>
    <d v="1973-01-09T00:00:00"/>
    <x v="7"/>
    <x v="2"/>
    <n v="29.9"/>
    <n v="53"/>
    <x v="3"/>
  </r>
  <r>
    <n v="49328439074"/>
    <s v="Rodrigo Mora"/>
    <x v="1"/>
    <x v="2"/>
    <s v="Negócios"/>
    <x v="2"/>
    <d v="1983-02-14T00:00:00"/>
    <x v="0"/>
    <x v="2"/>
    <n v="29.9"/>
    <n v="43"/>
    <x v="1"/>
  </r>
  <r>
    <n v="97043215141"/>
    <s v="Thomas Barnes"/>
    <x v="1"/>
    <x v="2"/>
    <s v="Política"/>
    <x v="1"/>
    <d v="1980-05-16T00:00:00"/>
    <x v="0"/>
    <x v="1"/>
    <n v="79.900000000000006"/>
    <n v="45"/>
    <x v="3"/>
  </r>
  <r>
    <n v="50108835505"/>
    <s v="William Silva"/>
    <x v="1"/>
    <x v="2"/>
    <s v="Negócios"/>
    <x v="2"/>
    <d v="1958-10-05T00:00:00"/>
    <x v="7"/>
    <x v="2"/>
    <n v="29.9"/>
    <n v="67"/>
    <x v="0"/>
  </r>
  <r>
    <n v="92500013367"/>
    <s v="William Silva"/>
    <x v="1"/>
    <x v="2"/>
    <s v="Negócios"/>
    <x v="2"/>
    <d v="1962-03-16T00:00:00"/>
    <x v="0"/>
    <x v="2"/>
    <n v="29.9"/>
    <n v="64"/>
    <x v="0"/>
  </r>
  <r>
    <n v="30850039240"/>
    <s v="Adriana Rojas"/>
    <x v="0"/>
    <x v="3"/>
    <s v="Negócios"/>
    <x v="0"/>
    <d v="1992-11-21T00:00:00"/>
    <x v="0"/>
    <x v="0"/>
    <n v="9.9"/>
    <n v="33"/>
    <x v="2"/>
  </r>
  <r>
    <n v="85179233460"/>
    <s v="Adriana Rojas"/>
    <x v="0"/>
    <x v="3"/>
    <s v="Negócios"/>
    <x v="0"/>
    <d v="1989-09-10T00:00:00"/>
    <x v="4"/>
    <x v="0"/>
    <n v="9.9"/>
    <n v="36"/>
    <x v="1"/>
  </r>
  <r>
    <n v="29665927499"/>
    <s v="Ana Pereira"/>
    <x v="0"/>
    <x v="3"/>
    <s v="Finanças"/>
    <x v="0"/>
    <d v="1970-10-31T00:00:00"/>
    <x v="5"/>
    <x v="2"/>
    <n v="29.9"/>
    <n v="55"/>
    <x v="0"/>
  </r>
  <r>
    <n v="81957095029"/>
    <s v="Ana Pereira"/>
    <x v="0"/>
    <x v="3"/>
    <s v="Finanças"/>
    <x v="0"/>
    <d v="1997-01-10T00:00:00"/>
    <x v="0"/>
    <x v="2"/>
    <n v="29.9"/>
    <n v="29"/>
    <x v="2"/>
  </r>
  <r>
    <n v="51993203545"/>
    <s v="Angelica Ibarra"/>
    <x v="0"/>
    <x v="3"/>
    <s v="Negócios"/>
    <x v="2"/>
    <d v="1969-03-23T00:00:00"/>
    <x v="0"/>
    <x v="1"/>
    <n v="79.900000000000006"/>
    <n v="57"/>
    <x v="0"/>
  </r>
  <r>
    <n v="85835308143"/>
    <s v="Angelica Ibarra"/>
    <x v="0"/>
    <x v="3"/>
    <s v="Negócios"/>
    <x v="2"/>
    <d v="1994-03-21T00:00:00"/>
    <x v="0"/>
    <x v="1"/>
    <n v="79.900000000000006"/>
    <n v="32"/>
    <x v="2"/>
  </r>
  <r>
    <n v="41027808363"/>
    <s v="Audrey Brooks"/>
    <x v="0"/>
    <x v="3"/>
    <s v="Agronegócio"/>
    <x v="2"/>
    <d v="1985-08-25T00:00:00"/>
    <x v="1"/>
    <x v="3"/>
    <n v="35.9"/>
    <n v="40"/>
    <x v="1"/>
  </r>
  <r>
    <n v="57379301258"/>
    <s v="Audrey Brooks"/>
    <x v="0"/>
    <x v="3"/>
    <s v="Agronegócio"/>
    <x v="2"/>
    <d v="1978-05-25T00:00:00"/>
    <x v="1"/>
    <x v="3"/>
    <n v="35.9"/>
    <n v="47"/>
    <x v="3"/>
  </r>
  <r>
    <n v="54411067391"/>
    <s v="Beatriz Castro"/>
    <x v="0"/>
    <x v="3"/>
    <s v="Negócios"/>
    <x v="0"/>
    <d v="1985-01-10T00:00:00"/>
    <x v="2"/>
    <x v="2"/>
    <n v="29.9"/>
    <n v="41"/>
    <x v="1"/>
  </r>
  <r>
    <n v="77297614799"/>
    <s v="Beatriz Castro"/>
    <x v="0"/>
    <x v="3"/>
    <s v="Negócios"/>
    <x v="0"/>
    <d v="1998-09-08T00:00:00"/>
    <x v="7"/>
    <x v="2"/>
    <n v="29.9"/>
    <n v="27"/>
    <x v="2"/>
  </r>
  <r>
    <n v="37211590394"/>
    <s v="Carmen Guzman"/>
    <x v="0"/>
    <x v="3"/>
    <s v="Economia"/>
    <x v="1"/>
    <d v="1983-12-19T00:00:00"/>
    <x v="0"/>
    <x v="3"/>
    <n v="35.9"/>
    <n v="42"/>
    <x v="1"/>
  </r>
  <r>
    <n v="48007068927"/>
    <s v="Carmen Guzman"/>
    <x v="0"/>
    <x v="3"/>
    <s v="Economia"/>
    <x v="1"/>
    <d v="1983-02-26T00:00:00"/>
    <x v="0"/>
    <x v="3"/>
    <n v="35.9"/>
    <n v="43"/>
    <x v="1"/>
  </r>
  <r>
    <n v="54339224143"/>
    <s v="Cecilia Morales"/>
    <x v="0"/>
    <x v="3"/>
    <s v="Economia"/>
    <x v="2"/>
    <d v="1961-09-30T00:00:00"/>
    <x v="1"/>
    <x v="2"/>
    <n v="29.9"/>
    <n v="64"/>
    <x v="0"/>
  </r>
  <r>
    <n v="81040031571"/>
    <s v="Cecilia Morales"/>
    <x v="0"/>
    <x v="3"/>
    <s v="Economia"/>
    <x v="2"/>
    <d v="1964-01-20T00:00:00"/>
    <x v="1"/>
    <x v="2"/>
    <n v="29.9"/>
    <n v="62"/>
    <x v="0"/>
  </r>
  <r>
    <n v="27679793781"/>
    <s v="Clara Almeida"/>
    <x v="0"/>
    <x v="3"/>
    <s v="Finanças"/>
    <x v="2"/>
    <d v="1961-02-10T00:00:00"/>
    <x v="0"/>
    <x v="2"/>
    <n v="29.9"/>
    <n v="65"/>
    <x v="0"/>
  </r>
  <r>
    <n v="93080185386"/>
    <s v="Clara Almeida"/>
    <x v="0"/>
    <x v="3"/>
    <s v="Finanças"/>
    <x v="2"/>
    <d v="1967-12-03T00:00:00"/>
    <x v="1"/>
    <x v="2"/>
    <n v="29.9"/>
    <n v="58"/>
    <x v="0"/>
  </r>
  <r>
    <n v="47005649054"/>
    <s v="Elena Morales"/>
    <x v="0"/>
    <x v="3"/>
    <s v="Economia"/>
    <x v="2"/>
    <d v="1978-12-18T00:00:00"/>
    <x v="2"/>
    <x v="3"/>
    <n v="35.9"/>
    <n v="47"/>
    <x v="3"/>
  </r>
  <r>
    <n v="94583059920"/>
    <s v="Elena Morales"/>
    <x v="0"/>
    <x v="3"/>
    <s v="Economia"/>
    <x v="2"/>
    <d v="1978-03-29T00:00:00"/>
    <x v="0"/>
    <x v="3"/>
    <n v="35.9"/>
    <n v="48"/>
    <x v="3"/>
  </r>
  <r>
    <n v="23955738155"/>
    <s v="Eliana Ramirez"/>
    <x v="0"/>
    <x v="3"/>
    <s v="Negócios"/>
    <x v="1"/>
    <d v="1971-04-22T00:00:00"/>
    <x v="2"/>
    <x v="2"/>
    <n v="29.9"/>
    <n v="54"/>
    <x v="0"/>
  </r>
  <r>
    <n v="75720068227"/>
    <s v="Eliana Ramirez"/>
    <x v="0"/>
    <x v="3"/>
    <s v="Negócios"/>
    <x v="1"/>
    <d v="1988-07-05T00:00:00"/>
    <x v="1"/>
    <x v="2"/>
    <n v="29.9"/>
    <n v="37"/>
    <x v="1"/>
  </r>
  <r>
    <n v="55201624465"/>
    <s v="Elijah Hernandez"/>
    <x v="0"/>
    <x v="3"/>
    <s v="Finanças"/>
    <x v="0"/>
    <d v="1972-01-05T00:00:00"/>
    <x v="0"/>
    <x v="0"/>
    <n v="9.9"/>
    <n v="54"/>
    <x v="0"/>
  </r>
  <r>
    <n v="81957392796"/>
    <s v="Elijah Hernandez"/>
    <x v="0"/>
    <x v="3"/>
    <s v="Finanças"/>
    <x v="0"/>
    <d v="1991-12-23T00:00:00"/>
    <x v="0"/>
    <x v="0"/>
    <n v="9.9"/>
    <n v="34"/>
    <x v="2"/>
  </r>
  <r>
    <n v="39721320066"/>
    <s v="Elizabeth Young"/>
    <x v="0"/>
    <x v="3"/>
    <s v="Economia"/>
    <x v="0"/>
    <d v="1970-04-02T00:00:00"/>
    <x v="1"/>
    <x v="2"/>
    <n v="29.9"/>
    <n v="56"/>
    <x v="0"/>
  </r>
  <r>
    <n v="68722509568"/>
    <s v="Elizabeth Young"/>
    <x v="0"/>
    <x v="3"/>
    <s v="Economia"/>
    <x v="0"/>
    <d v="1970-01-24T00:00:00"/>
    <x v="2"/>
    <x v="2"/>
    <n v="29.9"/>
    <n v="56"/>
    <x v="0"/>
  </r>
  <r>
    <n v="28722728237"/>
    <s v="Estefania Velasco"/>
    <x v="0"/>
    <x v="3"/>
    <s v="Política"/>
    <x v="2"/>
    <d v="1989-03-21T00:00:00"/>
    <x v="0"/>
    <x v="1"/>
    <n v="79.900000000000006"/>
    <n v="37"/>
    <x v="1"/>
  </r>
  <r>
    <n v="40622214948"/>
    <s v="Estefania Velasco"/>
    <x v="0"/>
    <x v="3"/>
    <s v="Política"/>
    <x v="2"/>
    <d v="1986-03-05T00:00:00"/>
    <x v="6"/>
    <x v="1"/>
    <n v="79.900000000000006"/>
    <n v="40"/>
    <x v="1"/>
  </r>
  <r>
    <n v="32056730472"/>
    <s v="Fernanda Gomes"/>
    <x v="0"/>
    <x v="3"/>
    <s v="Negócios"/>
    <x v="2"/>
    <d v="1966-09-20T00:00:00"/>
    <x v="0"/>
    <x v="0"/>
    <n v="9.9"/>
    <n v="59"/>
    <x v="0"/>
  </r>
  <r>
    <n v="57638196563"/>
    <s v="Fernanda Gomes"/>
    <x v="0"/>
    <x v="3"/>
    <s v="Negócios"/>
    <x v="2"/>
    <d v="1977-01-10T00:00:00"/>
    <x v="1"/>
    <x v="0"/>
    <n v="9.9"/>
    <n v="49"/>
    <x v="3"/>
  </r>
  <r>
    <n v="41353457861"/>
    <s v="Fernanda Roman"/>
    <x v="0"/>
    <x v="3"/>
    <s v="Negócios"/>
    <x v="0"/>
    <d v="1994-08-06T00:00:00"/>
    <x v="0"/>
    <x v="2"/>
    <n v="29.9"/>
    <n v="31"/>
    <x v="2"/>
  </r>
  <r>
    <n v="46354255833"/>
    <s v="Fernanda Roman"/>
    <x v="0"/>
    <x v="3"/>
    <s v="Negócios"/>
    <x v="0"/>
    <d v="1972-02-11T00:00:00"/>
    <x v="0"/>
    <x v="2"/>
    <n v="29.9"/>
    <n v="54"/>
    <x v="0"/>
  </r>
  <r>
    <n v="46205324892"/>
    <s v="Isabela Martins"/>
    <x v="0"/>
    <x v="3"/>
    <s v="Economia"/>
    <x v="2"/>
    <d v="1968-09-18T00:00:00"/>
    <x v="1"/>
    <x v="2"/>
    <n v="29.9"/>
    <n v="57"/>
    <x v="0"/>
  </r>
  <r>
    <n v="72578545172"/>
    <s v="Isabela Martins"/>
    <x v="0"/>
    <x v="3"/>
    <s v="Economia"/>
    <x v="2"/>
    <d v="1981-07-17T00:00:00"/>
    <x v="1"/>
    <x v="2"/>
    <n v="29.9"/>
    <n v="44"/>
    <x v="3"/>
  </r>
  <r>
    <n v="52074827600"/>
    <s v="Layla Torres"/>
    <x v="0"/>
    <x v="3"/>
    <s v="Agronegócio"/>
    <x v="1"/>
    <d v="1959-01-05T00:00:00"/>
    <x v="2"/>
    <x v="0"/>
    <n v="9.9"/>
    <n v="67"/>
    <x v="0"/>
  </r>
  <r>
    <n v="87414402435"/>
    <s v="Layla Torres"/>
    <x v="0"/>
    <x v="3"/>
    <s v="Agronegócio"/>
    <x v="1"/>
    <d v="1978-10-04T00:00:00"/>
    <x v="1"/>
    <x v="0"/>
    <n v="9.9"/>
    <n v="47"/>
    <x v="3"/>
  </r>
  <r>
    <n v="39678618932"/>
    <s v="Letícia Gomes"/>
    <x v="0"/>
    <x v="3"/>
    <s v="Negócios"/>
    <x v="0"/>
    <d v="1975-08-15T00:00:00"/>
    <x v="1"/>
    <x v="3"/>
    <n v="35.9"/>
    <n v="50"/>
    <x v="3"/>
  </r>
  <r>
    <n v="92851862378"/>
    <s v="Letícia Gomes"/>
    <x v="0"/>
    <x v="3"/>
    <s v="Negócios"/>
    <x v="0"/>
    <d v="1984-07-09T00:00:00"/>
    <x v="3"/>
    <x v="3"/>
    <n v="35.9"/>
    <n v="41"/>
    <x v="1"/>
  </r>
  <r>
    <n v="47042740325"/>
    <s v="Levi Sanders"/>
    <x v="0"/>
    <x v="3"/>
    <s v="Finanças"/>
    <x v="0"/>
    <d v="1987-02-22T00:00:00"/>
    <x v="0"/>
    <x v="2"/>
    <n v="29.9"/>
    <n v="39"/>
    <x v="1"/>
  </r>
  <r>
    <n v="51629234687"/>
    <s v="Levi Sanders"/>
    <x v="0"/>
    <x v="3"/>
    <s v="Finanças"/>
    <x v="0"/>
    <d v="1970-06-16T00:00:00"/>
    <x v="1"/>
    <x v="2"/>
    <n v="29.9"/>
    <n v="55"/>
    <x v="0"/>
  </r>
  <r>
    <n v="38563822180"/>
    <s v="Maria Vargas"/>
    <x v="0"/>
    <x v="3"/>
    <s v="Economia"/>
    <x v="0"/>
    <d v="1978-09-20T00:00:00"/>
    <x v="2"/>
    <x v="2"/>
    <n v="29.9"/>
    <n v="47"/>
    <x v="3"/>
  </r>
  <r>
    <n v="72766768810"/>
    <s v="Maria Vargas"/>
    <x v="0"/>
    <x v="3"/>
    <s v="Economia"/>
    <x v="0"/>
    <d v="1982-09-20T00:00:00"/>
    <x v="0"/>
    <x v="2"/>
    <n v="29.9"/>
    <n v="43"/>
    <x v="1"/>
  </r>
  <r>
    <n v="39011685266"/>
    <s v="Mariana Almeida"/>
    <x v="0"/>
    <x v="3"/>
    <s v="Economia"/>
    <x v="0"/>
    <d v="1968-08-25T00:00:00"/>
    <x v="0"/>
    <x v="3"/>
    <n v="35.9"/>
    <n v="57"/>
    <x v="0"/>
  </r>
  <r>
    <n v="96469060945"/>
    <s v="Mariana Almeida"/>
    <x v="0"/>
    <x v="3"/>
    <s v="Economia"/>
    <x v="1"/>
    <d v="1970-09-19T00:00:00"/>
    <x v="5"/>
    <x v="3"/>
    <n v="35.9"/>
    <n v="55"/>
    <x v="0"/>
  </r>
  <r>
    <n v="38193237578"/>
    <s v="Mariana Pereira"/>
    <x v="0"/>
    <x v="3"/>
    <s v="Finanças"/>
    <x v="0"/>
    <d v="1987-12-23T00:00:00"/>
    <x v="0"/>
    <x v="2"/>
    <n v="29.9"/>
    <n v="38"/>
    <x v="1"/>
  </r>
  <r>
    <n v="38278121652"/>
    <s v="Mariana Pereira"/>
    <x v="0"/>
    <x v="3"/>
    <s v="Finanças"/>
    <x v="0"/>
    <d v="1960-11-21T00:00:00"/>
    <x v="0"/>
    <x v="2"/>
    <n v="29.9"/>
    <n v="65"/>
    <x v="0"/>
  </r>
  <r>
    <n v="44675229890"/>
    <s v="Mariana Souza Oliveira"/>
    <x v="0"/>
    <x v="3"/>
    <s v="Política"/>
    <x v="2"/>
    <d v="1985-09-18T00:00:00"/>
    <x v="4"/>
    <x v="1"/>
    <n v="79.900000000000006"/>
    <n v="40"/>
    <x v="1"/>
  </r>
  <r>
    <n v="55064239822"/>
    <s v="Mariana Souza Oliveira"/>
    <x v="0"/>
    <x v="3"/>
    <s v="Política"/>
    <x v="2"/>
    <d v="1957-03-02T00:00:00"/>
    <x v="0"/>
    <x v="1"/>
    <n v="79.900000000000006"/>
    <n v="69"/>
    <x v="0"/>
  </r>
  <r>
    <n v="24399783131"/>
    <s v="Olivia Brown"/>
    <x v="0"/>
    <x v="3"/>
    <s v="Esportes"/>
    <x v="1"/>
    <d v="1958-09-05T00:00:00"/>
    <x v="2"/>
    <x v="0"/>
    <n v="9.9"/>
    <n v="67"/>
    <x v="0"/>
  </r>
  <r>
    <n v="33482040032"/>
    <s v="Olivia Brown"/>
    <x v="0"/>
    <x v="3"/>
    <s v="Esportes"/>
    <x v="1"/>
    <d v="1989-03-20T00:00:00"/>
    <x v="0"/>
    <x v="0"/>
    <n v="9.9"/>
    <n v="37"/>
    <x v="1"/>
  </r>
  <r>
    <n v="28166551614"/>
    <s v="Renata Rodrigues"/>
    <x v="0"/>
    <x v="3"/>
    <s v="Política"/>
    <x v="2"/>
    <d v="1983-12-06T00:00:00"/>
    <x v="5"/>
    <x v="1"/>
    <n v="79.900000000000006"/>
    <n v="42"/>
    <x v="1"/>
  </r>
  <r>
    <n v="71408591056"/>
    <s v="Renata Rodrigues"/>
    <x v="0"/>
    <x v="3"/>
    <s v="Política"/>
    <x v="2"/>
    <d v="1981-03-01T00:00:00"/>
    <x v="3"/>
    <x v="1"/>
    <n v="79.900000000000006"/>
    <n v="45"/>
    <x v="3"/>
  </r>
  <r>
    <n v="46126747412"/>
    <s v="Renata Silva"/>
    <x v="0"/>
    <x v="3"/>
    <s v="Esportes"/>
    <x v="0"/>
    <d v="1962-06-30T00:00:00"/>
    <x v="1"/>
    <x v="0"/>
    <n v="9.9"/>
    <n v="63"/>
    <x v="0"/>
  </r>
  <r>
    <n v="52741320194"/>
    <s v="Renata Silva"/>
    <x v="0"/>
    <x v="3"/>
    <s v="Esportes"/>
    <x v="0"/>
    <d v="1973-06-08T00:00:00"/>
    <x v="0"/>
    <x v="0"/>
    <n v="9.9"/>
    <n v="52"/>
    <x v="3"/>
  </r>
  <r>
    <n v="35176580107"/>
    <s v="Rita Rodrigues"/>
    <x v="0"/>
    <x v="3"/>
    <s v="Finanças"/>
    <x v="2"/>
    <d v="1967-09-09T00:00:00"/>
    <x v="0"/>
    <x v="2"/>
    <n v="29.9"/>
    <n v="58"/>
    <x v="0"/>
  </r>
  <r>
    <n v="85294985317"/>
    <s v="Rita Rodrigues"/>
    <x v="0"/>
    <x v="3"/>
    <s v="Finanças"/>
    <x v="2"/>
    <d v="1982-03-04T00:00:00"/>
    <x v="5"/>
    <x v="2"/>
    <n v="29.9"/>
    <n v="44"/>
    <x v="3"/>
  </r>
  <r>
    <n v="24132591017"/>
    <s v="Rita Silva"/>
    <x v="0"/>
    <x v="3"/>
    <s v="Agronegócio"/>
    <x v="0"/>
    <d v="1978-01-14T00:00:00"/>
    <x v="6"/>
    <x v="1"/>
    <n v="79.900000000000006"/>
    <n v="48"/>
    <x v="3"/>
  </r>
  <r>
    <n v="51204535285"/>
    <s v="Rita Silva"/>
    <x v="0"/>
    <x v="3"/>
    <s v="Agronegócio"/>
    <x v="0"/>
    <d v="1975-03-24T00:00:00"/>
    <x v="0"/>
    <x v="1"/>
    <n v="79.900000000000006"/>
    <n v="51"/>
    <x v="3"/>
  </r>
  <r>
    <n v="30221046505"/>
    <s v="Sandra Rodrigues"/>
    <x v="0"/>
    <x v="3"/>
    <s v="Negócios"/>
    <x v="0"/>
    <d v="1984-07-01T00:00:00"/>
    <x v="3"/>
    <x v="3"/>
    <n v="35.9"/>
    <n v="41"/>
    <x v="1"/>
  </r>
  <r>
    <n v="49266952999"/>
    <s v="Sandra Rodrigues"/>
    <x v="0"/>
    <x v="3"/>
    <s v="Negócios"/>
    <x v="0"/>
    <d v="1978-06-24T00:00:00"/>
    <x v="0"/>
    <x v="3"/>
    <n v="35.9"/>
    <n v="47"/>
    <x v="3"/>
  </r>
  <r>
    <n v="45709208362"/>
    <s v="Sandra Silva"/>
    <x v="0"/>
    <x v="3"/>
    <s v="Economia"/>
    <x v="0"/>
    <d v="1961-12-16T00:00:00"/>
    <x v="0"/>
    <x v="0"/>
    <n v="9.9"/>
    <n v="64"/>
    <x v="0"/>
  </r>
  <r>
    <n v="38032052054"/>
    <s v="Silvia Navarro"/>
    <x v="0"/>
    <x v="3"/>
    <s v="Finanças"/>
    <x v="0"/>
    <d v="1980-06-29T00:00:00"/>
    <x v="1"/>
    <x v="2"/>
    <n v="29.9"/>
    <n v="45"/>
    <x v="3"/>
  </r>
  <r>
    <n v="49215142467"/>
    <s v="Silvia Navarro"/>
    <x v="0"/>
    <x v="3"/>
    <s v="Finanças"/>
    <x v="0"/>
    <d v="1988-01-12T00:00:00"/>
    <x v="0"/>
    <x v="2"/>
    <n v="29.9"/>
    <n v="38"/>
    <x v="1"/>
  </r>
  <r>
    <n v="46370856674"/>
    <s v="Valentina Rodriguez"/>
    <x v="0"/>
    <x v="3"/>
    <s v="Agronegócio"/>
    <x v="0"/>
    <d v="1973-02-15T00:00:00"/>
    <x v="0"/>
    <x v="1"/>
    <n v="79.900000000000006"/>
    <n v="53"/>
    <x v="3"/>
  </r>
  <r>
    <n v="55332904919"/>
    <s v="Valentina Rodriguez"/>
    <x v="0"/>
    <x v="3"/>
    <s v="Agronegócio"/>
    <x v="0"/>
    <d v="1977-11-12T00:00:00"/>
    <x v="7"/>
    <x v="1"/>
    <n v="79.900000000000006"/>
    <n v="48"/>
    <x v="3"/>
  </r>
  <r>
    <n v="51483423208"/>
    <s v="Vilma Rodrigues"/>
    <x v="0"/>
    <x v="3"/>
    <s v="Negócios"/>
    <x v="2"/>
    <d v="1994-08-16T00:00:00"/>
    <x v="3"/>
    <x v="0"/>
    <n v="9.9"/>
    <n v="31"/>
    <x v="2"/>
  </r>
  <r>
    <n v="92420051701"/>
    <s v="Vilma Rodrigues"/>
    <x v="0"/>
    <x v="3"/>
    <s v="Negócios"/>
    <x v="2"/>
    <d v="1997-06-13T00:00:00"/>
    <x v="0"/>
    <x v="0"/>
    <n v="9.9"/>
    <n v="28"/>
    <x v="2"/>
  </r>
  <r>
    <n v="43690634952"/>
    <s v="Vilma Silva"/>
    <x v="0"/>
    <x v="3"/>
    <s v="Negócios"/>
    <x v="0"/>
    <d v="1957-06-07T00:00:00"/>
    <x v="1"/>
    <x v="2"/>
    <n v="29.9"/>
    <n v="68"/>
    <x v="0"/>
  </r>
  <r>
    <n v="94654130097"/>
    <s v="Vilma Silva"/>
    <x v="0"/>
    <x v="3"/>
    <s v="Negócios"/>
    <x v="1"/>
    <d v="1995-07-14T00:00:00"/>
    <x v="0"/>
    <x v="2"/>
    <n v="29.9"/>
    <n v="30"/>
    <x v="2"/>
  </r>
  <r>
    <n v="26864897176"/>
    <s v="Antonio Pacheco"/>
    <x v="1"/>
    <x v="3"/>
    <s v="Finanças"/>
    <x v="0"/>
    <d v="1965-03-30T00:00:00"/>
    <x v="1"/>
    <x v="2"/>
    <n v="29.9"/>
    <n v="61"/>
    <x v="0"/>
  </r>
  <r>
    <n v="71434327238"/>
    <s v="Antonio Pacheco"/>
    <x v="1"/>
    <x v="3"/>
    <s v="Finanças"/>
    <x v="0"/>
    <d v="1990-02-22T00:00:00"/>
    <x v="7"/>
    <x v="2"/>
    <n v="29.9"/>
    <n v="36"/>
    <x v="1"/>
  </r>
  <r>
    <n v="41339088783"/>
    <s v="Arturo Leon"/>
    <x v="1"/>
    <x v="3"/>
    <s v="Agronegócio"/>
    <x v="1"/>
    <d v="1968-11-08T00:00:00"/>
    <x v="0"/>
    <x v="0"/>
    <n v="9.9"/>
    <n v="57"/>
    <x v="0"/>
  </r>
  <r>
    <n v="46621773048"/>
    <s v="Arturo Leon"/>
    <x v="1"/>
    <x v="3"/>
    <s v="Agronegócio"/>
    <x v="1"/>
    <d v="1964-11-28T00:00:00"/>
    <x v="7"/>
    <x v="0"/>
    <n v="9.9"/>
    <n v="61"/>
    <x v="0"/>
  </r>
  <r>
    <n v="25585315115"/>
    <s v="Autumn Brooks"/>
    <x v="1"/>
    <x v="3"/>
    <s v="Economia"/>
    <x v="1"/>
    <d v="1977-08-18T00:00:00"/>
    <x v="0"/>
    <x v="0"/>
    <n v="9.9"/>
    <n v="48"/>
    <x v="3"/>
  </r>
  <r>
    <n v="63795122122"/>
    <s v="Autumn Brooks"/>
    <x v="1"/>
    <x v="3"/>
    <s v="Economia"/>
    <x v="1"/>
    <d v="1993-05-18T00:00:00"/>
    <x v="0"/>
    <x v="0"/>
    <n v="9.9"/>
    <n v="32"/>
    <x v="2"/>
  </r>
  <r>
    <n v="37045628622"/>
    <s v="Bernardo Costa"/>
    <x v="1"/>
    <x v="3"/>
    <s v="Negócios"/>
    <x v="0"/>
    <d v="1968-04-08T00:00:00"/>
    <x v="1"/>
    <x v="2"/>
    <n v="29.9"/>
    <n v="57"/>
    <x v="0"/>
  </r>
  <r>
    <n v="91518429185"/>
    <s v="Bernardo Costa"/>
    <x v="1"/>
    <x v="3"/>
    <s v="Negócios"/>
    <x v="0"/>
    <d v="1987-03-04T00:00:00"/>
    <x v="0"/>
    <x v="2"/>
    <n v="29.9"/>
    <n v="39"/>
    <x v="1"/>
  </r>
  <r>
    <n v="42013420174"/>
    <s v="Bernardo Oliveira"/>
    <x v="1"/>
    <x v="3"/>
    <s v="Economia"/>
    <x v="1"/>
    <d v="1956-04-21T00:00:00"/>
    <x v="1"/>
    <x v="3"/>
    <n v="35.9"/>
    <n v="69"/>
    <x v="0"/>
  </r>
  <r>
    <n v="43990474257"/>
    <s v="Bruno Almeida"/>
    <x v="1"/>
    <x v="3"/>
    <s v="Economia"/>
    <x v="2"/>
    <d v="1978-09-17T00:00:00"/>
    <x v="0"/>
    <x v="2"/>
    <n v="29.9"/>
    <n v="47"/>
    <x v="3"/>
  </r>
  <r>
    <n v="58366156412"/>
    <s v="Bruno Almeida"/>
    <x v="1"/>
    <x v="3"/>
    <s v="Economia"/>
    <x v="2"/>
    <d v="1987-10-29T00:00:00"/>
    <x v="0"/>
    <x v="2"/>
    <n v="29.9"/>
    <n v="38"/>
    <x v="1"/>
  </r>
  <r>
    <n v="50105898295"/>
    <s v="Bruno Oliveira"/>
    <x v="1"/>
    <x v="3"/>
    <s v="Agronegócio"/>
    <x v="1"/>
    <d v="1957-04-27T00:00:00"/>
    <x v="6"/>
    <x v="0"/>
    <n v="9.9"/>
    <n v="68"/>
    <x v="0"/>
  </r>
  <r>
    <n v="77353989708"/>
    <s v="Bruno Oliveira"/>
    <x v="1"/>
    <x v="3"/>
    <s v="Agronegócio"/>
    <x v="1"/>
    <d v="1968-04-11T00:00:00"/>
    <x v="1"/>
    <x v="0"/>
    <n v="9.9"/>
    <n v="57"/>
    <x v="0"/>
  </r>
  <r>
    <n v="47245946960"/>
    <s v="Bruno Pereira"/>
    <x v="1"/>
    <x v="3"/>
    <s v="Agronegócio"/>
    <x v="1"/>
    <d v="1980-05-11T00:00:00"/>
    <x v="0"/>
    <x v="0"/>
    <n v="9.9"/>
    <n v="45"/>
    <x v="3"/>
  </r>
  <r>
    <n v="89719385812"/>
    <s v="Bruno Pereira"/>
    <x v="1"/>
    <x v="3"/>
    <s v="Agronegócio"/>
    <x v="1"/>
    <d v="1967-11-25T00:00:00"/>
    <x v="5"/>
    <x v="0"/>
    <n v="9.9"/>
    <n v="58"/>
    <x v="0"/>
  </r>
  <r>
    <n v="23812290184"/>
    <s v="Caleb Reed"/>
    <x v="1"/>
    <x v="3"/>
    <s v="Negócios"/>
    <x v="0"/>
    <d v="1992-07-03T00:00:00"/>
    <x v="0"/>
    <x v="2"/>
    <n v="29.9"/>
    <n v="33"/>
    <x v="2"/>
  </r>
  <r>
    <n v="88165679068"/>
    <s v="Caleb Reed"/>
    <x v="1"/>
    <x v="3"/>
    <s v="Negócios"/>
    <x v="0"/>
    <d v="1988-01-25T00:00:00"/>
    <x v="0"/>
    <x v="2"/>
    <n v="29.9"/>
    <n v="38"/>
    <x v="1"/>
  </r>
  <r>
    <n v="54742058650"/>
    <s v="Carlos Ferreira"/>
    <x v="1"/>
    <x v="3"/>
    <s v="Negócios"/>
    <x v="1"/>
    <d v="1970-10-05T00:00:00"/>
    <x v="0"/>
    <x v="2"/>
    <n v="29.9"/>
    <n v="55"/>
    <x v="0"/>
  </r>
  <r>
    <n v="55499979478"/>
    <s v="Carlos Ferreira"/>
    <x v="1"/>
    <x v="3"/>
    <s v="Negócios"/>
    <x v="1"/>
    <d v="1971-09-09T00:00:00"/>
    <x v="1"/>
    <x v="2"/>
    <n v="29.9"/>
    <n v="54"/>
    <x v="0"/>
  </r>
  <r>
    <n v="28153849933"/>
    <s v="Daniel Baker"/>
    <x v="1"/>
    <x v="3"/>
    <s v="Negócios"/>
    <x v="2"/>
    <d v="1974-10-13T00:00:00"/>
    <x v="2"/>
    <x v="1"/>
    <n v="79.900000000000006"/>
    <n v="51"/>
    <x v="3"/>
  </r>
  <r>
    <n v="47365199226"/>
    <s v="Daniel Baker"/>
    <x v="1"/>
    <x v="3"/>
    <s v="Negócios"/>
    <x v="2"/>
    <d v="1988-05-12T00:00:00"/>
    <x v="0"/>
    <x v="1"/>
    <n v="79.900000000000006"/>
    <n v="37"/>
    <x v="1"/>
  </r>
  <r>
    <n v="36403873767"/>
    <s v="Daniel Santos Gomes"/>
    <x v="1"/>
    <x v="3"/>
    <s v="Agronegócio"/>
    <x v="2"/>
    <d v="1963-09-20T00:00:00"/>
    <x v="0"/>
    <x v="3"/>
    <n v="35.9"/>
    <n v="62"/>
    <x v="0"/>
  </r>
  <r>
    <n v="36755533362"/>
    <s v="Daniel Santos Gomes"/>
    <x v="1"/>
    <x v="3"/>
    <s v="Agronegócio"/>
    <x v="2"/>
    <d v="1991-01-06T00:00:00"/>
    <x v="3"/>
    <x v="3"/>
    <n v="35.9"/>
    <n v="35"/>
    <x v="1"/>
  </r>
  <r>
    <n v="29210849513"/>
    <s v="Eduardo Medina"/>
    <x v="1"/>
    <x v="3"/>
    <s v="Economia"/>
    <x v="1"/>
    <d v="1962-02-27T00:00:00"/>
    <x v="1"/>
    <x v="3"/>
    <n v="35.9"/>
    <n v="64"/>
    <x v="0"/>
  </r>
  <r>
    <n v="34289791783"/>
    <s v="Eduardo Medina"/>
    <x v="1"/>
    <x v="3"/>
    <s v="Economia"/>
    <x v="1"/>
    <d v="1970-11-14T00:00:00"/>
    <x v="0"/>
    <x v="3"/>
    <n v="35.9"/>
    <n v="55"/>
    <x v="0"/>
  </r>
  <r>
    <n v="33120179107"/>
    <s v="Emerson Rodrigues"/>
    <x v="1"/>
    <x v="3"/>
    <s v="Finanças"/>
    <x v="0"/>
    <d v="1987-09-28T00:00:00"/>
    <x v="1"/>
    <x v="2"/>
    <n v="29.9"/>
    <n v="38"/>
    <x v="1"/>
  </r>
  <r>
    <n v="65384833003"/>
    <s v="Emerson Rodrigues"/>
    <x v="1"/>
    <x v="3"/>
    <s v="Finanças"/>
    <x v="0"/>
    <d v="1988-03-20T00:00:00"/>
    <x v="1"/>
    <x v="2"/>
    <n v="29.9"/>
    <n v="38"/>
    <x v="1"/>
  </r>
  <r>
    <n v="53104808484"/>
    <s v="Emerson Silva"/>
    <x v="1"/>
    <x v="3"/>
    <s v="Agronegócio"/>
    <x v="2"/>
    <d v="1994-09-16T00:00:00"/>
    <x v="7"/>
    <x v="3"/>
    <n v="35.9"/>
    <n v="31"/>
    <x v="2"/>
  </r>
  <r>
    <n v="90471108936"/>
    <s v="Emerson Silva"/>
    <x v="1"/>
    <x v="3"/>
    <s v="Agronegócio"/>
    <x v="2"/>
    <d v="1983-03-04T00:00:00"/>
    <x v="0"/>
    <x v="3"/>
    <n v="35.9"/>
    <n v="43"/>
    <x v="1"/>
  </r>
  <r>
    <n v="47007221276"/>
    <s v="Felipe Alves"/>
    <x v="1"/>
    <x v="3"/>
    <s v="Economia"/>
    <x v="1"/>
    <d v="1971-10-18T00:00:00"/>
    <x v="5"/>
    <x v="3"/>
    <n v="35.9"/>
    <n v="54"/>
    <x v="0"/>
  </r>
  <r>
    <n v="83649207260"/>
    <s v="Felipe Alves"/>
    <x v="1"/>
    <x v="3"/>
    <s v="Economia"/>
    <x v="1"/>
    <d v="1978-02-19T00:00:00"/>
    <x v="0"/>
    <x v="3"/>
    <n v="35.9"/>
    <n v="48"/>
    <x v="3"/>
  </r>
  <r>
    <n v="36918195071"/>
    <s v="Felipe Costa"/>
    <x v="1"/>
    <x v="3"/>
    <s v="Economia"/>
    <x v="2"/>
    <d v="1982-10-01T00:00:00"/>
    <x v="1"/>
    <x v="3"/>
    <n v="35.9"/>
    <n v="43"/>
    <x v="1"/>
  </r>
  <r>
    <n v="38804835975"/>
    <s v="Felipe Costa"/>
    <x v="1"/>
    <x v="3"/>
    <s v="Economia"/>
    <x v="2"/>
    <d v="1987-01-25T00:00:00"/>
    <x v="0"/>
    <x v="3"/>
    <n v="35.9"/>
    <n v="39"/>
    <x v="1"/>
  </r>
  <r>
    <n v="35170686850"/>
    <s v="Fernando Ferreira"/>
    <x v="1"/>
    <x v="3"/>
    <s v="Economia"/>
    <x v="1"/>
    <d v="1979-11-21T00:00:00"/>
    <x v="0"/>
    <x v="0"/>
    <n v="9.9"/>
    <n v="46"/>
    <x v="3"/>
  </r>
  <r>
    <n v="42735692164"/>
    <s v="Fernando Ferreira"/>
    <x v="1"/>
    <x v="3"/>
    <s v="Economia"/>
    <x v="1"/>
    <d v="1994-12-31T00:00:00"/>
    <x v="5"/>
    <x v="0"/>
    <n v="9.9"/>
    <n v="31"/>
    <x v="2"/>
  </r>
  <r>
    <n v="34323519769"/>
    <s v="Gabriel Evans"/>
    <x v="1"/>
    <x v="3"/>
    <s v="Negócios"/>
    <x v="0"/>
    <d v="1960-07-13T00:00:00"/>
    <x v="0"/>
    <x v="0"/>
    <n v="9.9"/>
    <n v="65"/>
    <x v="0"/>
  </r>
  <r>
    <n v="35825297492"/>
    <s v="Gabriel Evans"/>
    <x v="1"/>
    <x v="3"/>
    <s v="Negócios"/>
    <x v="0"/>
    <d v="1979-06-23T00:00:00"/>
    <x v="1"/>
    <x v="0"/>
    <n v="9.9"/>
    <n v="46"/>
    <x v="3"/>
  </r>
  <r>
    <n v="39300028907"/>
    <s v="Gabriela Mendoza"/>
    <x v="1"/>
    <x v="3"/>
    <s v="Esportes"/>
    <x v="1"/>
    <d v="1956-11-19T00:00:00"/>
    <x v="0"/>
    <x v="0"/>
    <n v="9.9"/>
    <n v="69"/>
    <x v="0"/>
  </r>
  <r>
    <n v="75883715598"/>
    <s v="Gabriela Mendoza"/>
    <x v="1"/>
    <x v="3"/>
    <s v="Esportes"/>
    <x v="1"/>
    <d v="1962-08-09T00:00:00"/>
    <x v="0"/>
    <x v="0"/>
    <n v="9.9"/>
    <n v="63"/>
    <x v="0"/>
  </r>
  <r>
    <n v="36431106330"/>
    <s v="Gustavo Neves"/>
    <x v="1"/>
    <x v="3"/>
    <s v="Agronegócio"/>
    <x v="2"/>
    <d v="1983-08-23T00:00:00"/>
    <x v="0"/>
    <x v="1"/>
    <n v="79.900000000000006"/>
    <n v="42"/>
    <x v="1"/>
  </r>
  <r>
    <n v="95707970101"/>
    <s v="Gustavo Neves"/>
    <x v="1"/>
    <x v="3"/>
    <s v="Agronegócio"/>
    <x v="0"/>
    <d v="1964-10-05T00:00:00"/>
    <x v="7"/>
    <x v="1"/>
    <n v="79.900000000000006"/>
    <n v="61"/>
    <x v="0"/>
  </r>
  <r>
    <n v="37652222715"/>
    <s v="Harper Martinez"/>
    <x v="1"/>
    <x v="3"/>
    <s v="Economia"/>
    <x v="1"/>
    <d v="1995-09-07T00:00:00"/>
    <x v="0"/>
    <x v="3"/>
    <n v="35.9"/>
    <n v="30"/>
    <x v="2"/>
  </r>
  <r>
    <n v="85516322956"/>
    <s v="Harper Martinez"/>
    <x v="1"/>
    <x v="3"/>
    <s v="Economia"/>
    <x v="1"/>
    <d v="1986-04-16T00:00:00"/>
    <x v="2"/>
    <x v="3"/>
    <n v="35.9"/>
    <n v="39"/>
    <x v="1"/>
  </r>
  <r>
    <n v="29058531849"/>
    <s v="Harper Reed"/>
    <x v="1"/>
    <x v="3"/>
    <s v="Economia"/>
    <x v="1"/>
    <d v="1964-08-10T00:00:00"/>
    <x v="0"/>
    <x v="3"/>
    <n v="35.9"/>
    <n v="61"/>
    <x v="0"/>
  </r>
  <r>
    <n v="52838416344"/>
    <s v="Javier Diaz"/>
    <x v="1"/>
    <x v="3"/>
    <s v="Negócios"/>
    <x v="0"/>
    <d v="1957-01-23T00:00:00"/>
    <x v="0"/>
    <x v="0"/>
    <n v="9.9"/>
    <n v="69"/>
    <x v="0"/>
  </r>
  <r>
    <n v="67257820477"/>
    <s v="Javier Diaz"/>
    <x v="1"/>
    <x v="3"/>
    <s v="Negócios"/>
    <x v="0"/>
    <d v="1987-12-03T00:00:00"/>
    <x v="0"/>
    <x v="0"/>
    <n v="9.9"/>
    <n v="38"/>
    <x v="1"/>
  </r>
  <r>
    <n v="33585062982"/>
    <s v="Javier Peralta"/>
    <x v="1"/>
    <x v="3"/>
    <s v="Agronegócio"/>
    <x v="2"/>
    <d v="1960-03-03T00:00:00"/>
    <x v="0"/>
    <x v="3"/>
    <n v="35.9"/>
    <n v="66"/>
    <x v="0"/>
  </r>
  <r>
    <n v="58289445241"/>
    <s v="Javier Peralta"/>
    <x v="1"/>
    <x v="3"/>
    <s v="Agronegócio"/>
    <x v="2"/>
    <d v="1988-07-25T00:00:00"/>
    <x v="0"/>
    <x v="3"/>
    <n v="35.9"/>
    <n v="37"/>
    <x v="1"/>
  </r>
  <r>
    <n v="32359135449"/>
    <s v="Jordan Hayes"/>
    <x v="1"/>
    <x v="3"/>
    <s v="Negócios"/>
    <x v="2"/>
    <d v="1961-06-13T00:00:00"/>
    <x v="3"/>
    <x v="0"/>
    <n v="9.9"/>
    <n v="64"/>
    <x v="0"/>
  </r>
  <r>
    <n v="85811272833"/>
    <s v="Jordan Hayes"/>
    <x v="1"/>
    <x v="3"/>
    <s v="Negócios"/>
    <x v="2"/>
    <d v="1982-05-04T00:00:00"/>
    <x v="0"/>
    <x v="0"/>
    <n v="9.9"/>
    <n v="43"/>
    <x v="1"/>
  </r>
  <r>
    <n v="36997621098"/>
    <s v="José Gomes"/>
    <x v="1"/>
    <x v="3"/>
    <s v="Esportes"/>
    <x v="1"/>
    <d v="1961-06-30T00:00:00"/>
    <x v="5"/>
    <x v="0"/>
    <n v="9.9"/>
    <n v="64"/>
    <x v="0"/>
  </r>
  <r>
    <n v="85643949724"/>
    <s v="José Gomes"/>
    <x v="1"/>
    <x v="3"/>
    <s v="Esportes"/>
    <x v="1"/>
    <d v="1981-07-09T00:00:00"/>
    <x v="5"/>
    <x v="0"/>
    <n v="9.9"/>
    <n v="44"/>
    <x v="3"/>
  </r>
  <r>
    <n v="38423790148"/>
    <s v="José Santos"/>
    <x v="1"/>
    <x v="3"/>
    <s v="Negócios"/>
    <x v="0"/>
    <d v="1972-12-27T00:00:00"/>
    <x v="2"/>
    <x v="0"/>
    <n v="9.9"/>
    <n v="53"/>
    <x v="3"/>
  </r>
  <r>
    <n v="58944256865"/>
    <s v="José Santos"/>
    <x v="1"/>
    <x v="3"/>
    <s v="Negócios"/>
    <x v="0"/>
    <d v="1999-08-24T00:00:00"/>
    <x v="1"/>
    <x v="0"/>
    <n v="9.9"/>
    <n v="26"/>
    <x v="2"/>
  </r>
  <r>
    <n v="33329077647"/>
    <s v="Joshua Reed"/>
    <x v="1"/>
    <x v="3"/>
    <s v="Economia"/>
    <x v="2"/>
    <d v="1960-08-21T00:00:00"/>
    <x v="0"/>
    <x v="2"/>
    <n v="29.9"/>
    <n v="65"/>
    <x v="0"/>
  </r>
  <r>
    <n v="64350773035"/>
    <s v="Joshua Reed"/>
    <x v="1"/>
    <x v="3"/>
    <s v="Economia"/>
    <x v="2"/>
    <d v="1972-01-27T00:00:00"/>
    <x v="0"/>
    <x v="2"/>
    <n v="29.9"/>
    <n v="54"/>
    <x v="0"/>
  </r>
  <r>
    <n v="42224635144"/>
    <s v="Lincoln Hughes"/>
    <x v="1"/>
    <x v="3"/>
    <s v="Política"/>
    <x v="2"/>
    <d v="1961-04-23T00:00:00"/>
    <x v="0"/>
    <x v="1"/>
    <n v="79.900000000000006"/>
    <n v="64"/>
    <x v="0"/>
  </r>
  <r>
    <n v="53144306711"/>
    <s v="Lincoln Hughes"/>
    <x v="1"/>
    <x v="3"/>
    <s v="Política"/>
    <x v="2"/>
    <d v="1985-08-12T00:00:00"/>
    <x v="1"/>
    <x v="1"/>
    <n v="79.900000000000006"/>
    <n v="40"/>
    <x v="1"/>
  </r>
  <r>
    <n v="55151517281"/>
    <s v="Lucas Miller"/>
    <x v="1"/>
    <x v="3"/>
    <s v="Política"/>
    <x v="2"/>
    <d v="1989-04-30T00:00:00"/>
    <x v="0"/>
    <x v="1"/>
    <n v="79.900000000000006"/>
    <n v="36"/>
    <x v="1"/>
  </r>
  <r>
    <n v="83970499766"/>
    <s v="Lucas Miller"/>
    <x v="1"/>
    <x v="3"/>
    <s v="Política"/>
    <x v="2"/>
    <d v="1997-04-18T00:00:00"/>
    <x v="0"/>
    <x v="1"/>
    <n v="79.900000000000006"/>
    <n v="28"/>
    <x v="2"/>
  </r>
  <r>
    <n v="32861405102"/>
    <s v="Marcelo Almeida"/>
    <x v="1"/>
    <x v="3"/>
    <s v="Economia"/>
    <x v="2"/>
    <d v="1966-07-20T00:00:00"/>
    <x v="2"/>
    <x v="3"/>
    <n v="35.9"/>
    <n v="59"/>
    <x v="0"/>
  </r>
  <r>
    <n v="90676250589"/>
    <s v="Marcelo Almeida"/>
    <x v="1"/>
    <x v="3"/>
    <s v="Economia"/>
    <x v="2"/>
    <d v="1964-01-19T00:00:00"/>
    <x v="0"/>
    <x v="3"/>
    <n v="35.9"/>
    <n v="62"/>
    <x v="0"/>
  </r>
  <r>
    <n v="27696929974"/>
    <s v="Marcelo Fernandes"/>
    <x v="1"/>
    <x v="3"/>
    <s v="Negócios"/>
    <x v="0"/>
    <d v="1963-07-13T00:00:00"/>
    <x v="0"/>
    <x v="0"/>
    <n v="9.9"/>
    <n v="62"/>
    <x v="0"/>
  </r>
  <r>
    <n v="84709823345"/>
    <s v="Marcelo Fernandes"/>
    <x v="1"/>
    <x v="3"/>
    <s v="Negócios"/>
    <x v="0"/>
    <d v="1962-05-21T00:00:00"/>
    <x v="2"/>
    <x v="0"/>
    <n v="9.9"/>
    <n v="63"/>
    <x v="0"/>
  </r>
  <r>
    <n v="33083932561"/>
    <s v="Miguel Perez"/>
    <x v="1"/>
    <x v="3"/>
    <s v="Finanças"/>
    <x v="2"/>
    <d v="1955-02-10T00:00:00"/>
    <x v="5"/>
    <x v="2"/>
    <n v="29.9"/>
    <n v="71"/>
    <x v="0"/>
  </r>
  <r>
    <n v="77956710912"/>
    <s v="Miguel Perez"/>
    <x v="1"/>
    <x v="3"/>
    <s v="Finanças"/>
    <x v="2"/>
    <d v="1974-06-03T00:00:00"/>
    <x v="1"/>
    <x v="2"/>
    <n v="29.9"/>
    <n v="51"/>
    <x v="3"/>
  </r>
  <r>
    <n v="45591421429"/>
    <s v="Oscar Cisneros"/>
    <x v="1"/>
    <x v="3"/>
    <s v="Política"/>
    <x v="2"/>
    <d v="1981-11-16T00:00:00"/>
    <x v="0"/>
    <x v="1"/>
    <n v="79.900000000000006"/>
    <n v="44"/>
    <x v="3"/>
  </r>
  <r>
    <n v="47840676137"/>
    <s v="Oscar Cisneros"/>
    <x v="1"/>
    <x v="3"/>
    <s v="Política"/>
    <x v="2"/>
    <d v="1965-05-02T00:00:00"/>
    <x v="1"/>
    <x v="1"/>
    <n v="79.900000000000006"/>
    <n v="60"/>
    <x v="0"/>
  </r>
  <r>
    <n v="46741073132"/>
    <s v="Oscar Ruiz"/>
    <x v="1"/>
    <x v="3"/>
    <s v="Esportes"/>
    <x v="0"/>
    <d v="1978-09-16T00:00:00"/>
    <x v="4"/>
    <x v="0"/>
    <n v="9.9"/>
    <n v="47"/>
    <x v="3"/>
  </r>
  <r>
    <n v="74365444411"/>
    <s v="Oscar Ruiz"/>
    <x v="1"/>
    <x v="3"/>
    <s v="Esportes"/>
    <x v="0"/>
    <d v="1967-11-24T00:00:00"/>
    <x v="3"/>
    <x v="0"/>
    <n v="9.9"/>
    <n v="58"/>
    <x v="0"/>
  </r>
  <r>
    <n v="47042599063"/>
    <s v="Pedro Oliveira"/>
    <x v="1"/>
    <x v="3"/>
    <s v="Política"/>
    <x v="2"/>
    <d v="1992-11-08T00:00:00"/>
    <x v="1"/>
    <x v="1"/>
    <n v="79.900000000000006"/>
    <n v="33"/>
    <x v="2"/>
  </r>
  <r>
    <n v="73925142939"/>
    <s v="Pedro Oliveira"/>
    <x v="1"/>
    <x v="3"/>
    <s v="Política"/>
    <x v="2"/>
    <d v="1997-07-29T00:00:00"/>
    <x v="0"/>
    <x v="1"/>
    <n v="79.900000000000006"/>
    <n v="28"/>
    <x v="2"/>
  </r>
  <r>
    <n v="29200736829"/>
    <s v="Pedro Rodrigues Martins"/>
    <x v="1"/>
    <x v="3"/>
    <s v="Esportes"/>
    <x v="0"/>
    <d v="1967-06-05T00:00:00"/>
    <x v="7"/>
    <x v="2"/>
    <n v="29.9"/>
    <n v="58"/>
    <x v="0"/>
  </r>
  <r>
    <n v="64130526083"/>
    <s v="Pedro Rodrigues Martins"/>
    <x v="1"/>
    <x v="3"/>
    <s v="Esportes"/>
    <x v="0"/>
    <d v="1984-11-15T00:00:00"/>
    <x v="0"/>
    <x v="2"/>
    <n v="29.9"/>
    <n v="41"/>
    <x v="1"/>
  </r>
  <r>
    <n v="28746452670"/>
    <s v="Rafael Almeida"/>
    <x v="1"/>
    <x v="3"/>
    <s v="Negócios"/>
    <x v="2"/>
    <d v="1993-08-13T00:00:00"/>
    <x v="0"/>
    <x v="1"/>
    <n v="79.900000000000006"/>
    <n v="32"/>
    <x v="2"/>
  </r>
  <r>
    <n v="32944488783"/>
    <s v="Rafael Silva"/>
    <x v="1"/>
    <x v="3"/>
    <s v="Economia"/>
    <x v="0"/>
    <d v="1972-05-23T00:00:00"/>
    <x v="1"/>
    <x v="2"/>
    <n v="29.9"/>
    <n v="53"/>
    <x v="3"/>
  </r>
  <r>
    <n v="85815028040"/>
    <s v="Rafael Silva"/>
    <x v="1"/>
    <x v="3"/>
    <s v="Economia"/>
    <x v="0"/>
    <d v="1962-02-06T00:00:00"/>
    <x v="0"/>
    <x v="2"/>
    <n v="29.9"/>
    <n v="64"/>
    <x v="0"/>
  </r>
  <r>
    <n v="23710915067"/>
    <s v="Ruby Perry"/>
    <x v="1"/>
    <x v="3"/>
    <s v="Esportes"/>
    <x v="0"/>
    <d v="1963-11-26T00:00:00"/>
    <x v="1"/>
    <x v="2"/>
    <n v="29.9"/>
    <n v="62"/>
    <x v="0"/>
  </r>
  <r>
    <n v="44079062916"/>
    <s v="Ruby Perry"/>
    <x v="1"/>
    <x v="3"/>
    <s v="Esportes"/>
    <x v="0"/>
    <d v="1984-05-14T00:00:00"/>
    <x v="0"/>
    <x v="2"/>
    <n v="29.9"/>
    <n v="41"/>
    <x v="1"/>
  </r>
  <r>
    <n v="37978687320"/>
    <s v="Salvador Bravo"/>
    <x v="1"/>
    <x v="3"/>
    <s v="Economia"/>
    <x v="2"/>
    <d v="1978-05-31T00:00:00"/>
    <x v="1"/>
    <x v="0"/>
    <n v="9.9"/>
    <n v="47"/>
    <x v="3"/>
  </r>
  <r>
    <n v="49822462008"/>
    <s v="Salvador Bravo"/>
    <x v="1"/>
    <x v="3"/>
    <s v="Economia"/>
    <x v="2"/>
    <d v="1961-08-18T00:00:00"/>
    <x v="0"/>
    <x v="0"/>
    <n v="9.9"/>
    <n v="64"/>
    <x v="0"/>
  </r>
  <r>
    <n v="31886556092"/>
    <s v="Scarlett Mitchell"/>
    <x v="1"/>
    <x v="3"/>
    <s v="Economia"/>
    <x v="2"/>
    <d v="1990-01-30T00:00:00"/>
    <x v="1"/>
    <x v="0"/>
    <n v="9.9"/>
    <n v="36"/>
    <x v="1"/>
  </r>
  <r>
    <n v="63194018864"/>
    <s v="Scarlett Mitchell"/>
    <x v="1"/>
    <x v="3"/>
    <s v="Economia"/>
    <x v="2"/>
    <d v="1960-08-19T00:00:00"/>
    <x v="1"/>
    <x v="0"/>
    <n v="9.9"/>
    <n v="65"/>
    <x v="0"/>
  </r>
  <r>
    <n v="55228283525"/>
    <s v="Tristan Perry"/>
    <x v="1"/>
    <x v="3"/>
    <s v="Negócios"/>
    <x v="0"/>
    <d v="1971-01-21T00:00:00"/>
    <x v="3"/>
    <x v="3"/>
    <n v="35.9"/>
    <n v="55"/>
    <x v="0"/>
  </r>
  <r>
    <n v="99687496489"/>
    <s v="Tristan Perry"/>
    <x v="1"/>
    <x v="3"/>
    <s v="Negócios"/>
    <x v="0"/>
    <d v="1996-04-08T00:00:00"/>
    <x v="0"/>
    <x v="3"/>
    <n v="35.9"/>
    <n v="29"/>
    <x v="2"/>
  </r>
  <r>
    <n v="46858118798"/>
    <s v="William Almeida"/>
    <x v="1"/>
    <x v="3"/>
    <s v="Negócios"/>
    <x v="0"/>
    <d v="1956-10-13T00:00:00"/>
    <x v="5"/>
    <x v="0"/>
    <n v="9.9"/>
    <n v="69"/>
    <x v="0"/>
  </r>
  <r>
    <n v="75886580216"/>
    <s v="William Almeida"/>
    <x v="1"/>
    <x v="3"/>
    <s v="Negócios"/>
    <x v="0"/>
    <d v="1974-09-17T00:00:00"/>
    <x v="0"/>
    <x v="0"/>
    <n v="9.9"/>
    <n v="51"/>
    <x v="3"/>
  </r>
  <r>
    <n v="37973746271"/>
    <s v="William Santos"/>
    <x v="1"/>
    <x v="3"/>
    <s v="Economia"/>
    <x v="2"/>
    <d v="1978-03-15T00:00:00"/>
    <x v="1"/>
    <x v="0"/>
    <n v="9.9"/>
    <n v="48"/>
    <x v="3"/>
  </r>
  <r>
    <n v="60149753821"/>
    <s v="William Santos"/>
    <x v="1"/>
    <x v="3"/>
    <s v="Economia"/>
    <x v="2"/>
    <d v="1975-01-22T00:00:00"/>
    <x v="0"/>
    <x v="0"/>
    <n v="9.9"/>
    <n v="51"/>
    <x v="3"/>
  </r>
  <r>
    <n v="32076448530"/>
    <s v="Adriana Silva"/>
    <x v="0"/>
    <x v="4"/>
    <s v="Agronegócio"/>
    <x v="0"/>
    <d v="1964-12-25T00:00:00"/>
    <x v="0"/>
    <x v="3"/>
    <n v="35.9"/>
    <n v="61"/>
    <x v="0"/>
  </r>
  <r>
    <n v="76981963636"/>
    <s v="Adriana Silva"/>
    <x v="0"/>
    <x v="4"/>
    <s v="Agronegócio"/>
    <x v="0"/>
    <d v="1975-09-25T00:00:00"/>
    <x v="0"/>
    <x v="3"/>
    <n v="35.9"/>
    <n v="50"/>
    <x v="3"/>
  </r>
  <r>
    <n v="35897348847"/>
    <s v="Alma Rosa Delgado"/>
    <x v="0"/>
    <x v="4"/>
    <s v="Negócios"/>
    <x v="1"/>
    <d v="1955-02-26T00:00:00"/>
    <x v="1"/>
    <x v="0"/>
    <n v="9.9"/>
    <n v="71"/>
    <x v="0"/>
  </r>
  <r>
    <n v="82696018618"/>
    <s v="Alma Rosa Delgado"/>
    <x v="0"/>
    <x v="4"/>
    <s v="Negócios"/>
    <x v="1"/>
    <d v="1989-11-27T00:00:00"/>
    <x v="1"/>
    <x v="0"/>
    <n v="9.9"/>
    <n v="36"/>
    <x v="1"/>
  </r>
  <r>
    <n v="24287997573"/>
    <s v="Amanda Costa"/>
    <x v="0"/>
    <x v="4"/>
    <s v="Negócios"/>
    <x v="0"/>
    <d v="1980-03-18T00:00:00"/>
    <x v="4"/>
    <x v="0"/>
    <n v="9.9"/>
    <n v="46"/>
    <x v="3"/>
  </r>
  <r>
    <n v="82534701192"/>
    <s v="Amanda Costa"/>
    <x v="0"/>
    <x v="4"/>
    <s v="Negócios"/>
    <x v="0"/>
    <d v="1983-07-27T00:00:00"/>
    <x v="1"/>
    <x v="0"/>
    <n v="9.9"/>
    <n v="42"/>
    <x v="1"/>
  </r>
  <r>
    <n v="29617727732"/>
    <s v="Amanda Souza"/>
    <x v="0"/>
    <x v="4"/>
    <s v="Economia"/>
    <x v="1"/>
    <d v="1987-09-11T00:00:00"/>
    <x v="1"/>
    <x v="2"/>
    <n v="29.9"/>
    <n v="38"/>
    <x v="1"/>
  </r>
  <r>
    <n v="60051549640"/>
    <s v="Amanda Souza"/>
    <x v="0"/>
    <x v="4"/>
    <s v="Economia"/>
    <x v="1"/>
    <d v="1966-07-18T00:00:00"/>
    <x v="0"/>
    <x v="2"/>
    <n v="29.9"/>
    <n v="59"/>
    <x v="0"/>
  </r>
  <r>
    <n v="32910016971"/>
    <s v="Aria Rivera"/>
    <x v="0"/>
    <x v="4"/>
    <s v="Economia"/>
    <x v="0"/>
    <d v="1978-04-07T00:00:00"/>
    <x v="5"/>
    <x v="3"/>
    <n v="35.9"/>
    <n v="47"/>
    <x v="3"/>
  </r>
  <r>
    <n v="84948080328"/>
    <s v="Aria Rivera"/>
    <x v="0"/>
    <x v="4"/>
    <s v="Economia"/>
    <x v="0"/>
    <d v="1993-11-02T00:00:00"/>
    <x v="6"/>
    <x v="3"/>
    <n v="35.9"/>
    <n v="32"/>
    <x v="2"/>
  </r>
  <r>
    <n v="41899088127"/>
    <s v="Beatriz Castro Oliveira"/>
    <x v="0"/>
    <x v="4"/>
    <s v="Negócios"/>
    <x v="1"/>
    <d v="1990-05-20T00:00:00"/>
    <x v="1"/>
    <x v="1"/>
    <n v="79.900000000000006"/>
    <n v="35"/>
    <x v="1"/>
  </r>
  <r>
    <n v="53865937688"/>
    <s v="Beatriz Castro Oliveira"/>
    <x v="0"/>
    <x v="4"/>
    <s v="Negócios"/>
    <x v="1"/>
    <d v="1986-10-06T00:00:00"/>
    <x v="3"/>
    <x v="1"/>
    <n v="79.900000000000006"/>
    <n v="39"/>
    <x v="1"/>
  </r>
  <r>
    <n v="23985916849"/>
    <s v="Camila Torres"/>
    <x v="0"/>
    <x v="4"/>
    <s v="Economia"/>
    <x v="0"/>
    <d v="1990-11-04T00:00:00"/>
    <x v="3"/>
    <x v="3"/>
    <n v="35.9"/>
    <n v="35"/>
    <x v="1"/>
  </r>
  <r>
    <n v="45892038935"/>
    <s v="Camila Torres"/>
    <x v="0"/>
    <x v="4"/>
    <s v="Economia"/>
    <x v="0"/>
    <d v="1982-01-24T00:00:00"/>
    <x v="7"/>
    <x v="3"/>
    <n v="35.9"/>
    <n v="44"/>
    <x v="3"/>
  </r>
  <r>
    <n v="28013158370"/>
    <s v="Carolina Valenzuela"/>
    <x v="0"/>
    <x v="4"/>
    <s v="Negócios"/>
    <x v="1"/>
    <d v="1957-09-13T00:00:00"/>
    <x v="7"/>
    <x v="1"/>
    <n v="79.900000000000006"/>
    <n v="68"/>
    <x v="0"/>
  </r>
  <r>
    <n v="68287318390"/>
    <s v="Carolina Valenzuela"/>
    <x v="0"/>
    <x v="4"/>
    <s v="Negócios"/>
    <x v="1"/>
    <d v="1986-09-29T00:00:00"/>
    <x v="7"/>
    <x v="1"/>
    <n v="79.900000000000006"/>
    <n v="39"/>
    <x v="1"/>
  </r>
  <r>
    <n v="45682920544"/>
    <s v="Charlotte Robinson"/>
    <x v="0"/>
    <x v="4"/>
    <s v="Economia"/>
    <x v="2"/>
    <d v="1989-06-20T00:00:00"/>
    <x v="0"/>
    <x v="3"/>
    <n v="35.9"/>
    <n v="36"/>
    <x v="1"/>
  </r>
  <r>
    <n v="52701318925"/>
    <s v="Charlotte Robinson"/>
    <x v="0"/>
    <x v="4"/>
    <s v="Economia"/>
    <x v="2"/>
    <d v="1975-09-21T00:00:00"/>
    <x v="0"/>
    <x v="3"/>
    <n v="35.9"/>
    <n v="50"/>
    <x v="3"/>
  </r>
  <r>
    <n v="25119128692"/>
    <s v="Chloe Coleman"/>
    <x v="0"/>
    <x v="4"/>
    <s v="Agronegócio"/>
    <x v="0"/>
    <d v="1983-03-09T00:00:00"/>
    <x v="1"/>
    <x v="3"/>
    <n v="35.9"/>
    <n v="43"/>
    <x v="1"/>
  </r>
  <r>
    <n v="42680912819"/>
    <s v="Chloe Coleman"/>
    <x v="0"/>
    <x v="4"/>
    <s v="Agronegócio"/>
    <x v="0"/>
    <d v="1975-03-04T00:00:00"/>
    <x v="2"/>
    <x v="3"/>
    <n v="35.9"/>
    <n v="51"/>
    <x v="3"/>
  </r>
  <r>
    <n v="52803639273"/>
    <s v="Elena Cabrera"/>
    <x v="0"/>
    <x v="4"/>
    <s v="Economia"/>
    <x v="2"/>
    <d v="1989-03-09T00:00:00"/>
    <x v="0"/>
    <x v="3"/>
    <n v="35.9"/>
    <n v="37"/>
    <x v="1"/>
  </r>
  <r>
    <n v="69591068465"/>
    <s v="Elena Cabrera"/>
    <x v="0"/>
    <x v="4"/>
    <s v="Economia"/>
    <x v="2"/>
    <d v="1967-07-22T00:00:00"/>
    <x v="0"/>
    <x v="3"/>
    <n v="35.9"/>
    <n v="58"/>
    <x v="0"/>
  </r>
  <r>
    <n v="34270622570"/>
    <s v="Ellie Hayes"/>
    <x v="0"/>
    <x v="4"/>
    <s v="Economia"/>
    <x v="2"/>
    <d v="1962-12-23T00:00:00"/>
    <x v="0"/>
    <x v="0"/>
    <n v="9.9"/>
    <n v="63"/>
    <x v="0"/>
  </r>
  <r>
    <n v="42864213763"/>
    <s v="Ellie Hayes"/>
    <x v="0"/>
    <x v="4"/>
    <s v="Economia"/>
    <x v="2"/>
    <d v="1988-11-19T00:00:00"/>
    <x v="5"/>
    <x v="0"/>
    <n v="9.9"/>
    <n v="37"/>
    <x v="1"/>
  </r>
  <r>
    <n v="24571944346"/>
    <s v="Emily Wright"/>
    <x v="0"/>
    <x v="4"/>
    <s v="Esportes"/>
    <x v="2"/>
    <d v="1959-04-13T00:00:00"/>
    <x v="2"/>
    <x v="0"/>
    <n v="9.9"/>
    <n v="66"/>
    <x v="0"/>
  </r>
  <r>
    <n v="82955592711"/>
    <s v="Emily Wright"/>
    <x v="0"/>
    <x v="4"/>
    <s v="Esportes"/>
    <x v="2"/>
    <d v="1962-07-05T00:00:00"/>
    <x v="1"/>
    <x v="0"/>
    <n v="9.9"/>
    <n v="63"/>
    <x v="0"/>
  </r>
  <r>
    <n v="41632449755"/>
    <s v="Emma Cruz"/>
    <x v="0"/>
    <x v="4"/>
    <s v="Esportes"/>
    <x v="0"/>
    <d v="1975-05-17T00:00:00"/>
    <x v="0"/>
    <x v="2"/>
    <n v="29.9"/>
    <n v="50"/>
    <x v="3"/>
  </r>
  <r>
    <n v="77035928818"/>
    <s v="Emma Cruz"/>
    <x v="0"/>
    <x v="4"/>
    <s v="Esportes"/>
    <x v="0"/>
    <d v="1969-01-20T00:00:00"/>
    <x v="3"/>
    <x v="2"/>
    <n v="29.9"/>
    <n v="57"/>
    <x v="0"/>
  </r>
  <r>
    <n v="22261045848"/>
    <s v="Emma Johnson"/>
    <x v="0"/>
    <x v="4"/>
    <s v="Agronegócio"/>
    <x v="0"/>
    <d v="1991-05-18T00:00:00"/>
    <x v="0"/>
    <x v="3"/>
    <n v="35.9"/>
    <n v="34"/>
    <x v="2"/>
  </r>
  <r>
    <n v="58346333965"/>
    <s v="Emma Johnson"/>
    <x v="0"/>
    <x v="4"/>
    <s v="Agronegócio"/>
    <x v="0"/>
    <d v="1969-07-15T00:00:00"/>
    <x v="0"/>
    <x v="3"/>
    <n v="35.9"/>
    <n v="56"/>
    <x v="0"/>
  </r>
  <r>
    <n v="31323760929"/>
    <s v="Evelyn Walker"/>
    <x v="0"/>
    <x v="4"/>
    <s v="Economia"/>
    <x v="0"/>
    <d v="1955-08-17T00:00:00"/>
    <x v="0"/>
    <x v="0"/>
    <n v="9.9"/>
    <n v="70"/>
    <x v="0"/>
  </r>
  <r>
    <n v="61998180036"/>
    <s v="Evelyn Walker"/>
    <x v="0"/>
    <x v="4"/>
    <s v="Economia"/>
    <x v="0"/>
    <d v="1971-05-14T00:00:00"/>
    <x v="5"/>
    <x v="0"/>
    <n v="9.9"/>
    <n v="54"/>
    <x v="0"/>
  </r>
  <r>
    <n v="45398267634"/>
    <s v="Gabriella Price"/>
    <x v="0"/>
    <x v="4"/>
    <s v="Agronegócio"/>
    <x v="0"/>
    <d v="1994-01-04T00:00:00"/>
    <x v="0"/>
    <x v="0"/>
    <n v="9.9"/>
    <n v="32"/>
    <x v="2"/>
  </r>
  <r>
    <n v="53837650572"/>
    <s v="Gabriella Price"/>
    <x v="0"/>
    <x v="4"/>
    <s v="Agronegócio"/>
    <x v="0"/>
    <d v="1989-07-10T00:00:00"/>
    <x v="0"/>
    <x v="0"/>
    <n v="9.9"/>
    <n v="36"/>
    <x v="1"/>
  </r>
  <r>
    <n v="28472708104"/>
    <s v="Grace Hill"/>
    <x v="0"/>
    <x v="4"/>
    <s v="Economia"/>
    <x v="0"/>
    <d v="1980-01-21T00:00:00"/>
    <x v="1"/>
    <x v="3"/>
    <n v="35.9"/>
    <n v="46"/>
    <x v="3"/>
  </r>
  <r>
    <n v="85199827692"/>
    <s v="Grace Hill"/>
    <x v="0"/>
    <x v="4"/>
    <s v="Economia"/>
    <x v="0"/>
    <d v="1984-10-05T00:00:00"/>
    <x v="2"/>
    <x v="3"/>
    <n v="35.9"/>
    <n v="41"/>
    <x v="1"/>
  </r>
  <r>
    <n v="35783183279"/>
    <s v="Hazel Myers"/>
    <x v="0"/>
    <x v="4"/>
    <s v="Economia"/>
    <x v="0"/>
    <d v="1963-08-16T00:00:00"/>
    <x v="1"/>
    <x v="0"/>
    <n v="9.9"/>
    <n v="62"/>
    <x v="0"/>
  </r>
  <r>
    <n v="53556010406"/>
    <s v="Hazel Myers"/>
    <x v="0"/>
    <x v="4"/>
    <s v="Economia"/>
    <x v="0"/>
    <d v="1970-05-17T00:00:00"/>
    <x v="5"/>
    <x v="0"/>
    <n v="9.9"/>
    <n v="55"/>
    <x v="0"/>
  </r>
  <r>
    <n v="49280389108"/>
    <s v="Isabel Ramos"/>
    <x v="0"/>
    <x v="4"/>
    <s v="Finanças"/>
    <x v="1"/>
    <d v="1957-04-09T00:00:00"/>
    <x v="0"/>
    <x v="2"/>
    <n v="29.9"/>
    <n v="68"/>
    <x v="0"/>
  </r>
  <r>
    <n v="95777582172"/>
    <s v="Isabel Ramos"/>
    <x v="0"/>
    <x v="4"/>
    <s v="Finanças"/>
    <x v="1"/>
    <d v="1989-09-18T00:00:00"/>
    <x v="2"/>
    <x v="2"/>
    <n v="29.9"/>
    <n v="36"/>
    <x v="1"/>
  </r>
  <r>
    <n v="25620590447"/>
    <s v="Isabela Carvalho"/>
    <x v="0"/>
    <x v="4"/>
    <s v="Política"/>
    <x v="1"/>
    <d v="1989-12-02T00:00:00"/>
    <x v="0"/>
    <x v="1"/>
    <n v="79.900000000000006"/>
    <n v="36"/>
    <x v="1"/>
  </r>
  <r>
    <n v="46593413625"/>
    <s v="Isabela Carvalho"/>
    <x v="0"/>
    <x v="4"/>
    <s v="Política"/>
    <x v="1"/>
    <d v="1986-03-07T00:00:00"/>
    <x v="3"/>
    <x v="1"/>
    <n v="79.900000000000006"/>
    <n v="40"/>
    <x v="1"/>
  </r>
  <r>
    <n v="25259510243"/>
    <s v="Isabela Martins Pereira"/>
    <x v="0"/>
    <x v="4"/>
    <s v="Finanças"/>
    <x v="1"/>
    <d v="1973-03-18T00:00:00"/>
    <x v="0"/>
    <x v="0"/>
    <n v="9.9"/>
    <n v="53"/>
    <x v="3"/>
  </r>
  <r>
    <n v="80299981987"/>
    <s v="Isabela Martins Pereira"/>
    <x v="0"/>
    <x v="4"/>
    <s v="Finanças"/>
    <x v="1"/>
    <d v="1992-07-06T00:00:00"/>
    <x v="6"/>
    <x v="0"/>
    <n v="9.9"/>
    <n v="33"/>
    <x v="2"/>
  </r>
  <r>
    <n v="28755892068"/>
    <s v="Isabella Taylor"/>
    <x v="0"/>
    <x v="4"/>
    <s v="Economia"/>
    <x v="0"/>
    <d v="1958-02-07T00:00:00"/>
    <x v="0"/>
    <x v="0"/>
    <n v="9.9"/>
    <n v="68"/>
    <x v="0"/>
  </r>
  <r>
    <n v="63534216354"/>
    <s v="Isabella Taylor"/>
    <x v="0"/>
    <x v="4"/>
    <s v="Economia"/>
    <x v="0"/>
    <d v="1978-12-17T00:00:00"/>
    <x v="0"/>
    <x v="0"/>
    <n v="9.9"/>
    <n v="47"/>
    <x v="3"/>
  </r>
  <r>
    <n v="39016491455"/>
    <s v="Isabelle Howard"/>
    <x v="0"/>
    <x v="4"/>
    <s v="Esportes"/>
    <x v="2"/>
    <d v="1975-04-07T00:00:00"/>
    <x v="0"/>
    <x v="0"/>
    <n v="9.9"/>
    <n v="50"/>
    <x v="3"/>
  </r>
  <r>
    <n v="52262038971"/>
    <s v="Isabelle Howard"/>
    <x v="0"/>
    <x v="4"/>
    <s v="Esportes"/>
    <x v="2"/>
    <d v="1988-09-22T00:00:00"/>
    <x v="1"/>
    <x v="0"/>
    <n v="9.9"/>
    <n v="37"/>
    <x v="1"/>
  </r>
  <r>
    <n v="23826850226"/>
    <s v="Juliana de Souza Oliveira"/>
    <x v="0"/>
    <x v="4"/>
    <s v="Negócios"/>
    <x v="1"/>
    <d v="1970-01-24T00:00:00"/>
    <x v="0"/>
    <x v="0"/>
    <n v="9.9"/>
    <n v="56"/>
    <x v="0"/>
  </r>
  <r>
    <n v="41524354226"/>
    <s v="Juliana de Souza Oliveira"/>
    <x v="0"/>
    <x v="4"/>
    <s v="Negócios"/>
    <x v="1"/>
    <d v="1978-06-29T00:00:00"/>
    <x v="0"/>
    <x v="0"/>
    <n v="9.9"/>
    <n v="47"/>
    <x v="3"/>
  </r>
  <r>
    <n v="27285805125"/>
    <s v="Landon Gray"/>
    <x v="0"/>
    <x v="4"/>
    <s v="Negócios"/>
    <x v="1"/>
    <d v="1987-03-12T00:00:00"/>
    <x v="1"/>
    <x v="2"/>
    <n v="29.9"/>
    <n v="39"/>
    <x v="1"/>
  </r>
  <r>
    <n v="99587124171"/>
    <s v="Landon Gray"/>
    <x v="0"/>
    <x v="4"/>
    <s v="Negócios"/>
    <x v="1"/>
    <d v="1976-12-18T00:00:00"/>
    <x v="5"/>
    <x v="2"/>
    <n v="29.9"/>
    <n v="49"/>
    <x v="3"/>
  </r>
  <r>
    <n v="35197147629"/>
    <s v="Laura Mendes"/>
    <x v="0"/>
    <x v="4"/>
    <s v="Negócios"/>
    <x v="1"/>
    <d v="1971-01-15T00:00:00"/>
    <x v="0"/>
    <x v="2"/>
    <n v="29.9"/>
    <n v="55"/>
    <x v="0"/>
  </r>
  <r>
    <n v="76617239194"/>
    <s v="Laura Mendes"/>
    <x v="0"/>
    <x v="4"/>
    <s v="Negócios"/>
    <x v="1"/>
    <d v="1974-06-19T00:00:00"/>
    <x v="0"/>
    <x v="2"/>
    <n v="29.9"/>
    <n v="51"/>
    <x v="3"/>
  </r>
  <r>
    <n v="27720063292"/>
    <s v="Laura Pineda"/>
    <x v="0"/>
    <x v="4"/>
    <s v="Negócios"/>
    <x v="0"/>
    <d v="1989-12-22T00:00:00"/>
    <x v="0"/>
    <x v="2"/>
    <n v="29.9"/>
    <n v="36"/>
    <x v="1"/>
  </r>
  <r>
    <n v="37236926966"/>
    <s v="Laura Pineda"/>
    <x v="0"/>
    <x v="4"/>
    <s v="Negócios"/>
    <x v="0"/>
    <d v="1965-08-24T00:00:00"/>
    <x v="0"/>
    <x v="2"/>
    <n v="29.9"/>
    <n v="60"/>
    <x v="0"/>
  </r>
  <r>
    <n v="24501506609"/>
    <s v="Laura Ribeiro"/>
    <x v="0"/>
    <x v="4"/>
    <s v="Política"/>
    <x v="1"/>
    <d v="1968-03-06T00:00:00"/>
    <x v="1"/>
    <x v="1"/>
    <n v="79.900000000000006"/>
    <n v="58"/>
    <x v="0"/>
  </r>
  <r>
    <n v="27177199946"/>
    <s v="Leah Sanders"/>
    <x v="0"/>
    <x v="4"/>
    <s v="Economia"/>
    <x v="0"/>
    <d v="1995-05-12T00:00:00"/>
    <x v="1"/>
    <x v="3"/>
    <n v="35.9"/>
    <n v="30"/>
    <x v="2"/>
  </r>
  <r>
    <n v="78983767645"/>
    <s v="Leah Sanders"/>
    <x v="0"/>
    <x v="4"/>
    <s v="Economia"/>
    <x v="0"/>
    <d v="1977-11-04T00:00:00"/>
    <x v="0"/>
    <x v="3"/>
    <n v="35.9"/>
    <n v="48"/>
    <x v="3"/>
  </r>
  <r>
    <n v="22915442664"/>
    <s v="Maria Elena Herrera"/>
    <x v="0"/>
    <x v="4"/>
    <s v="Negócios"/>
    <x v="0"/>
    <d v="1971-09-14T00:00:00"/>
    <x v="0"/>
    <x v="0"/>
    <n v="9.9"/>
    <n v="54"/>
    <x v="0"/>
  </r>
  <r>
    <n v="89152601477"/>
    <s v="Maria Elena Herrera"/>
    <x v="0"/>
    <x v="4"/>
    <s v="Negócios"/>
    <x v="0"/>
    <d v="1988-12-03T00:00:00"/>
    <x v="3"/>
    <x v="0"/>
    <n v="9.9"/>
    <n v="37"/>
    <x v="1"/>
  </r>
  <r>
    <n v="34597516064"/>
    <s v="Mariana Costa"/>
    <x v="0"/>
    <x v="4"/>
    <s v="Economia"/>
    <x v="2"/>
    <d v="1994-12-30T00:00:00"/>
    <x v="4"/>
    <x v="3"/>
    <n v="35.9"/>
    <n v="31"/>
    <x v="2"/>
  </r>
  <r>
    <n v="82193403599"/>
    <s v="Mariana Costa"/>
    <x v="0"/>
    <x v="4"/>
    <s v="Economia"/>
    <x v="2"/>
    <d v="1963-12-21T00:00:00"/>
    <x v="0"/>
    <x v="3"/>
    <n v="35.9"/>
    <n v="62"/>
    <x v="0"/>
  </r>
  <r>
    <n v="33490248117"/>
    <s v="Mariana Martins"/>
    <x v="0"/>
    <x v="4"/>
    <s v="Economia"/>
    <x v="0"/>
    <d v="1990-01-10T00:00:00"/>
    <x v="0"/>
    <x v="0"/>
    <n v="9.9"/>
    <n v="36"/>
    <x v="1"/>
  </r>
  <r>
    <n v="78384232915"/>
    <s v="Mariana Martins"/>
    <x v="0"/>
    <x v="4"/>
    <s v="Economia"/>
    <x v="0"/>
    <d v="1981-08-02T00:00:00"/>
    <x v="1"/>
    <x v="0"/>
    <n v="9.9"/>
    <n v="44"/>
    <x v="3"/>
  </r>
  <r>
    <n v="26768816675"/>
    <s v="Mariana Oliveira"/>
    <x v="0"/>
    <x v="4"/>
    <s v="Negócios"/>
    <x v="1"/>
    <d v="1989-07-23T00:00:00"/>
    <x v="1"/>
    <x v="0"/>
    <n v="9.9"/>
    <n v="36"/>
    <x v="1"/>
  </r>
  <r>
    <n v="51230053057"/>
    <s v="Mariana Oliveira"/>
    <x v="0"/>
    <x v="4"/>
    <s v="Negócios"/>
    <x v="1"/>
    <d v="1985-01-25T00:00:00"/>
    <x v="0"/>
    <x v="0"/>
    <n v="9.9"/>
    <n v="41"/>
    <x v="1"/>
  </r>
  <r>
    <n v="33969903983"/>
    <s v="Mariana Ortiz"/>
    <x v="0"/>
    <x v="4"/>
    <s v="Economia"/>
    <x v="2"/>
    <d v="1987-01-21T00:00:00"/>
    <x v="1"/>
    <x v="0"/>
    <n v="9.9"/>
    <n v="39"/>
    <x v="1"/>
  </r>
  <r>
    <n v="47885298863"/>
    <s v="Mariana Ortiz"/>
    <x v="0"/>
    <x v="4"/>
    <s v="Economia"/>
    <x v="2"/>
    <d v="1970-12-05T00:00:00"/>
    <x v="1"/>
    <x v="0"/>
    <n v="9.9"/>
    <n v="55"/>
    <x v="0"/>
  </r>
  <r>
    <n v="31239662843"/>
    <s v="Mariana Silva"/>
    <x v="0"/>
    <x v="4"/>
    <s v="Negócios"/>
    <x v="1"/>
    <d v="1957-11-01T00:00:00"/>
    <x v="0"/>
    <x v="0"/>
    <n v="9.9"/>
    <n v="68"/>
    <x v="0"/>
  </r>
  <r>
    <n v="77576268900"/>
    <s v="Mariana Silva"/>
    <x v="0"/>
    <x v="4"/>
    <s v="Negócios"/>
    <x v="1"/>
    <d v="1984-12-21T00:00:00"/>
    <x v="1"/>
    <x v="0"/>
    <n v="9.9"/>
    <n v="41"/>
    <x v="1"/>
  </r>
  <r>
    <n v="34823329746"/>
    <s v="Mariana Velazquez"/>
    <x v="0"/>
    <x v="4"/>
    <s v="Política"/>
    <x v="1"/>
    <d v="1985-05-28T00:00:00"/>
    <x v="5"/>
    <x v="1"/>
    <n v="79.900000000000006"/>
    <n v="40"/>
    <x v="1"/>
  </r>
  <r>
    <n v="44780432801"/>
    <s v="Mariana Velazquez"/>
    <x v="0"/>
    <x v="4"/>
    <s v="Política"/>
    <x v="1"/>
    <d v="1992-03-09T00:00:00"/>
    <x v="5"/>
    <x v="1"/>
    <n v="79.900000000000006"/>
    <n v="34"/>
    <x v="2"/>
  </r>
  <r>
    <n v="34501445196"/>
    <s v="Martin Dominguez"/>
    <x v="0"/>
    <x v="4"/>
    <s v="Esportes"/>
    <x v="2"/>
    <d v="1974-05-18T00:00:00"/>
    <x v="7"/>
    <x v="0"/>
    <n v="9.9"/>
    <n v="51"/>
    <x v="3"/>
  </r>
  <r>
    <n v="87420964182"/>
    <s v="Martin Dominguez"/>
    <x v="0"/>
    <x v="4"/>
    <s v="Esportes"/>
    <x v="2"/>
    <d v="1978-10-05T00:00:00"/>
    <x v="1"/>
    <x v="0"/>
    <n v="9.9"/>
    <n v="47"/>
    <x v="3"/>
  </r>
  <r>
    <n v="43349394419"/>
    <s v="Mia Thomas"/>
    <x v="0"/>
    <x v="4"/>
    <s v="Negócios"/>
    <x v="0"/>
    <d v="1959-10-01T00:00:00"/>
    <x v="3"/>
    <x v="2"/>
    <n v="29.9"/>
    <n v="66"/>
    <x v="0"/>
  </r>
  <r>
    <n v="53325037620"/>
    <s v="Mia Thomas"/>
    <x v="0"/>
    <x v="4"/>
    <s v="Negócios"/>
    <x v="0"/>
    <d v="1984-10-01T00:00:00"/>
    <x v="1"/>
    <x v="2"/>
    <n v="29.9"/>
    <n v="41"/>
    <x v="1"/>
  </r>
  <r>
    <n v="29958942950"/>
    <s v="Naomi Carter"/>
    <x v="0"/>
    <x v="4"/>
    <s v="Economia"/>
    <x v="0"/>
    <d v="1986-01-24T00:00:00"/>
    <x v="0"/>
    <x v="0"/>
    <n v="9.9"/>
    <n v="40"/>
    <x v="1"/>
  </r>
  <r>
    <n v="69832499336"/>
    <s v="Naomi Carter"/>
    <x v="0"/>
    <x v="4"/>
    <s v="Economia"/>
    <x v="0"/>
    <d v="1989-12-27T00:00:00"/>
    <x v="0"/>
    <x v="0"/>
    <n v="9.9"/>
    <n v="36"/>
    <x v="1"/>
  </r>
  <r>
    <n v="27575618320"/>
    <s v="Nora Collins"/>
    <x v="0"/>
    <x v="4"/>
    <s v="Esportes"/>
    <x v="0"/>
    <d v="1994-10-27T00:00:00"/>
    <x v="0"/>
    <x v="0"/>
    <n v="9.9"/>
    <n v="31"/>
    <x v="2"/>
  </r>
  <r>
    <n v="59616857954"/>
    <s v="Nora Collins"/>
    <x v="0"/>
    <x v="4"/>
    <s v="Esportes"/>
    <x v="0"/>
    <d v="1977-12-23T00:00:00"/>
    <x v="1"/>
    <x v="0"/>
    <n v="9.9"/>
    <n v="48"/>
    <x v="3"/>
  </r>
  <r>
    <n v="43512417125"/>
    <s v="Patrícia Costa"/>
    <x v="0"/>
    <x v="4"/>
    <s v="Negócios"/>
    <x v="0"/>
    <d v="1972-01-02T00:00:00"/>
    <x v="1"/>
    <x v="2"/>
    <n v="29.9"/>
    <n v="54"/>
    <x v="0"/>
  </r>
  <r>
    <n v="94460718865"/>
    <s v="Patrícia Costa"/>
    <x v="0"/>
    <x v="4"/>
    <s v="Negócios"/>
    <x v="1"/>
    <d v="1965-10-20T00:00:00"/>
    <x v="0"/>
    <x v="2"/>
    <n v="29.9"/>
    <n v="60"/>
    <x v="0"/>
  </r>
  <r>
    <n v="32076861903"/>
    <s v="Patricia Medina"/>
    <x v="0"/>
    <x v="4"/>
    <s v="Economia"/>
    <x v="0"/>
    <d v="1965-08-03T00:00:00"/>
    <x v="0"/>
    <x v="0"/>
    <n v="9.9"/>
    <n v="60"/>
    <x v="0"/>
  </r>
  <r>
    <n v="64965174741"/>
    <s v="Patricia Medina"/>
    <x v="0"/>
    <x v="4"/>
    <s v="Economia"/>
    <x v="0"/>
    <d v="1972-02-02T00:00:00"/>
    <x v="3"/>
    <x v="0"/>
    <n v="9.9"/>
    <n v="54"/>
    <x v="0"/>
  </r>
  <r>
    <n v="44113863787"/>
    <s v="Paula Rojas"/>
    <x v="0"/>
    <x v="4"/>
    <s v="Agronegócio"/>
    <x v="2"/>
    <d v="1971-03-29T00:00:00"/>
    <x v="0"/>
    <x v="1"/>
    <n v="79.900000000000006"/>
    <n v="55"/>
    <x v="0"/>
  </r>
  <r>
    <n v="80727883222"/>
    <s v="Paula Rojas"/>
    <x v="0"/>
    <x v="4"/>
    <s v="Agronegócio"/>
    <x v="2"/>
    <d v="1975-11-28T00:00:00"/>
    <x v="2"/>
    <x v="1"/>
    <n v="79.900000000000006"/>
    <n v="50"/>
    <x v="3"/>
  </r>
  <r>
    <n v="36396081744"/>
    <s v="Penelope Bailey"/>
    <x v="0"/>
    <x v="4"/>
    <s v="Economia"/>
    <x v="2"/>
    <d v="1970-05-23T00:00:00"/>
    <x v="0"/>
    <x v="2"/>
    <n v="29.9"/>
    <n v="55"/>
    <x v="0"/>
  </r>
  <r>
    <n v="64859560508"/>
    <s v="Penelope Bailey"/>
    <x v="0"/>
    <x v="4"/>
    <s v="Economia"/>
    <x v="2"/>
    <d v="1971-01-04T00:00:00"/>
    <x v="0"/>
    <x v="2"/>
    <n v="29.9"/>
    <n v="55"/>
    <x v="0"/>
  </r>
  <r>
    <n v="40059307494"/>
    <s v="Renata Almeida"/>
    <x v="0"/>
    <x v="4"/>
    <s v="Finanças"/>
    <x v="1"/>
    <d v="1955-05-30T00:00:00"/>
    <x v="0"/>
    <x v="2"/>
    <n v="29.9"/>
    <n v="70"/>
    <x v="0"/>
  </r>
  <r>
    <n v="98024981881"/>
    <s v="Renata Almeida"/>
    <x v="0"/>
    <x v="4"/>
    <s v="Finanças"/>
    <x v="1"/>
    <d v="1965-12-01T00:00:00"/>
    <x v="7"/>
    <x v="2"/>
    <n v="29.9"/>
    <n v="60"/>
    <x v="0"/>
  </r>
  <r>
    <n v="23744776016"/>
    <s v="Renata Fernandes"/>
    <x v="0"/>
    <x v="4"/>
    <s v="Agronegócio"/>
    <x v="2"/>
    <d v="1980-11-30T00:00:00"/>
    <x v="5"/>
    <x v="0"/>
    <n v="9.9"/>
    <n v="45"/>
    <x v="3"/>
  </r>
  <r>
    <n v="57248670590"/>
    <s v="Renata Fernandes"/>
    <x v="0"/>
    <x v="4"/>
    <s v="Agronegócio"/>
    <x v="2"/>
    <d v="1977-05-13T00:00:00"/>
    <x v="7"/>
    <x v="0"/>
    <n v="9.9"/>
    <n v="48"/>
    <x v="3"/>
  </r>
  <r>
    <n v="43955177890"/>
    <s v="Renata Martins"/>
    <x v="0"/>
    <x v="4"/>
    <s v="Economia"/>
    <x v="0"/>
    <d v="1975-06-20T00:00:00"/>
    <x v="0"/>
    <x v="0"/>
    <n v="9.9"/>
    <n v="50"/>
    <x v="3"/>
  </r>
  <r>
    <n v="48554358741"/>
    <s v="Renata Martins"/>
    <x v="0"/>
    <x v="4"/>
    <s v="Economia"/>
    <x v="0"/>
    <d v="1967-02-11T00:00:00"/>
    <x v="7"/>
    <x v="0"/>
    <n v="9.9"/>
    <n v="59"/>
    <x v="0"/>
  </r>
  <r>
    <n v="52456163228"/>
    <s v="Renata Santos"/>
    <x v="0"/>
    <x v="4"/>
    <s v="Finanças"/>
    <x v="1"/>
    <d v="1970-07-03T00:00:00"/>
    <x v="1"/>
    <x v="2"/>
    <n v="29.9"/>
    <n v="55"/>
    <x v="0"/>
  </r>
  <r>
    <n v="57464065635"/>
    <s v="Renata Santos"/>
    <x v="0"/>
    <x v="4"/>
    <s v="Finanças"/>
    <x v="1"/>
    <d v="1991-12-19T00:00:00"/>
    <x v="2"/>
    <x v="2"/>
    <n v="29.9"/>
    <n v="34"/>
    <x v="2"/>
  </r>
  <r>
    <n v="34871980724"/>
    <s v="Rita Almeida"/>
    <x v="0"/>
    <x v="4"/>
    <s v="Negócios"/>
    <x v="1"/>
    <d v="1982-05-22T00:00:00"/>
    <x v="1"/>
    <x v="2"/>
    <n v="29.9"/>
    <n v="43"/>
    <x v="1"/>
  </r>
  <r>
    <n v="83445012725"/>
    <s v="Rita Almeida"/>
    <x v="0"/>
    <x v="4"/>
    <s v="Negócios"/>
    <x v="1"/>
    <d v="1960-12-15T00:00:00"/>
    <x v="0"/>
    <x v="2"/>
    <n v="29.9"/>
    <n v="65"/>
    <x v="0"/>
  </r>
  <r>
    <n v="40243096179"/>
    <s v="Rita Fernandes"/>
    <x v="0"/>
    <x v="4"/>
    <s v="Negócios"/>
    <x v="0"/>
    <d v="1965-09-24T00:00:00"/>
    <x v="0"/>
    <x v="2"/>
    <n v="29.9"/>
    <n v="60"/>
    <x v="0"/>
  </r>
  <r>
    <n v="93661850588"/>
    <s v="Rita Fernandes"/>
    <x v="0"/>
    <x v="4"/>
    <s v="Negócios"/>
    <x v="2"/>
    <d v="1982-11-16T00:00:00"/>
    <x v="1"/>
    <x v="2"/>
    <n v="29.9"/>
    <n v="43"/>
    <x v="1"/>
  </r>
  <r>
    <n v="37789075708"/>
    <s v="Rita Martins"/>
    <x v="0"/>
    <x v="4"/>
    <s v="Economia"/>
    <x v="0"/>
    <d v="1990-08-16T00:00:00"/>
    <x v="7"/>
    <x v="3"/>
    <n v="35.9"/>
    <n v="35"/>
    <x v="1"/>
  </r>
  <r>
    <n v="69859227518"/>
    <s v="Rita Martins"/>
    <x v="0"/>
    <x v="4"/>
    <s v="Economia"/>
    <x v="0"/>
    <d v="1990-10-05T00:00:00"/>
    <x v="0"/>
    <x v="3"/>
    <n v="35.9"/>
    <n v="35"/>
    <x v="1"/>
  </r>
  <r>
    <n v="52237008409"/>
    <s v="Rita Oliveira"/>
    <x v="0"/>
    <x v="4"/>
    <s v="Economia"/>
    <x v="0"/>
    <d v="1979-05-10T00:00:00"/>
    <x v="5"/>
    <x v="3"/>
    <n v="35.9"/>
    <n v="46"/>
    <x v="3"/>
  </r>
  <r>
    <n v="82322292165"/>
    <s v="Rita Oliveira"/>
    <x v="0"/>
    <x v="4"/>
    <s v="Economia"/>
    <x v="0"/>
    <d v="1960-05-13T00:00:00"/>
    <x v="7"/>
    <x v="3"/>
    <n v="35.9"/>
    <n v="65"/>
    <x v="0"/>
  </r>
  <r>
    <n v="34473182713"/>
    <s v="Sandra Almeida"/>
    <x v="0"/>
    <x v="4"/>
    <s v="Economia"/>
    <x v="1"/>
    <d v="1988-08-14T00:00:00"/>
    <x v="3"/>
    <x v="2"/>
    <n v="29.9"/>
    <n v="37"/>
    <x v="1"/>
  </r>
  <r>
    <n v="35746258274"/>
    <s v="Sandra Almeida"/>
    <x v="0"/>
    <x v="4"/>
    <s v="Economia"/>
    <x v="1"/>
    <d v="1955-03-28T00:00:00"/>
    <x v="7"/>
    <x v="2"/>
    <n v="29.9"/>
    <n v="71"/>
    <x v="0"/>
  </r>
  <r>
    <n v="29062765488"/>
    <s v="Sandra Fernandes"/>
    <x v="0"/>
    <x v="4"/>
    <s v="Agronegócio"/>
    <x v="2"/>
    <d v="1957-07-27T00:00:00"/>
    <x v="0"/>
    <x v="3"/>
    <n v="35.9"/>
    <n v="68"/>
    <x v="0"/>
  </r>
  <r>
    <n v="53994694316"/>
    <s v="Sandra Fernandes"/>
    <x v="0"/>
    <x v="4"/>
    <s v="Agronegócio"/>
    <x v="2"/>
    <d v="1985-04-09T00:00:00"/>
    <x v="7"/>
    <x v="3"/>
    <n v="35.9"/>
    <n v="40"/>
    <x v="1"/>
  </r>
  <r>
    <n v="27733422032"/>
    <s v="Sandra Gomes"/>
    <x v="0"/>
    <x v="4"/>
    <s v="Finanças"/>
    <x v="1"/>
    <d v="1988-07-19T00:00:00"/>
    <x v="2"/>
    <x v="2"/>
    <n v="29.9"/>
    <n v="37"/>
    <x v="1"/>
  </r>
  <r>
    <n v="76227666348"/>
    <s v="Sandra Gomes"/>
    <x v="0"/>
    <x v="4"/>
    <s v="Finanças"/>
    <x v="1"/>
    <d v="1992-01-18T00:00:00"/>
    <x v="0"/>
    <x v="2"/>
    <n v="29.9"/>
    <n v="34"/>
    <x v="2"/>
  </r>
  <r>
    <n v="51624291281"/>
    <s v="Sandra Santos"/>
    <x v="0"/>
    <x v="4"/>
    <s v="Agronegócio"/>
    <x v="0"/>
    <d v="1969-03-02T00:00:00"/>
    <x v="1"/>
    <x v="0"/>
    <n v="9.9"/>
    <n v="57"/>
    <x v="0"/>
  </r>
  <r>
    <n v="76419222774"/>
    <s v="Sandra Santos"/>
    <x v="0"/>
    <x v="4"/>
    <s v="Agronegócio"/>
    <x v="0"/>
    <d v="1970-08-11T00:00:00"/>
    <x v="0"/>
    <x v="0"/>
    <n v="9.9"/>
    <n v="55"/>
    <x v="0"/>
  </r>
  <r>
    <n v="30253040173"/>
    <s v="Sofia Martinez"/>
    <x v="0"/>
    <x v="4"/>
    <s v="Economia"/>
    <x v="0"/>
    <d v="1972-04-17T00:00:00"/>
    <x v="6"/>
    <x v="3"/>
    <n v="35.9"/>
    <n v="53"/>
    <x v="3"/>
  </r>
  <r>
    <n v="86499663957"/>
    <s v="Sofia Martinez"/>
    <x v="0"/>
    <x v="4"/>
    <s v="Economia"/>
    <x v="0"/>
    <d v="1973-02-15T00:00:00"/>
    <x v="0"/>
    <x v="3"/>
    <n v="35.9"/>
    <n v="53"/>
    <x v="3"/>
  </r>
  <r>
    <n v="49300310285"/>
    <s v="Sophia Wilson"/>
    <x v="0"/>
    <x v="4"/>
    <s v="Agronegócio"/>
    <x v="2"/>
    <d v="1971-11-25T00:00:00"/>
    <x v="0"/>
    <x v="1"/>
    <n v="79.900000000000006"/>
    <n v="54"/>
    <x v="0"/>
  </r>
  <r>
    <n v="80307995495"/>
    <s v="Sophia Wilson"/>
    <x v="0"/>
    <x v="4"/>
    <s v="Agronegócio"/>
    <x v="2"/>
    <d v="1969-07-14T00:00:00"/>
    <x v="7"/>
    <x v="1"/>
    <n v="79.900000000000006"/>
    <n v="56"/>
    <x v="0"/>
  </r>
  <r>
    <n v="43353453212"/>
    <s v="Valeria Pena"/>
    <x v="0"/>
    <x v="4"/>
    <s v="Finanças"/>
    <x v="1"/>
    <d v="1960-02-24T00:00:00"/>
    <x v="7"/>
    <x v="0"/>
    <n v="9.9"/>
    <n v="66"/>
    <x v="0"/>
  </r>
  <r>
    <n v="58438486574"/>
    <s v="Valeria Pena"/>
    <x v="0"/>
    <x v="4"/>
    <s v="Finanças"/>
    <x v="1"/>
    <d v="1984-08-24T00:00:00"/>
    <x v="0"/>
    <x v="0"/>
    <n v="9.9"/>
    <n v="41"/>
    <x v="1"/>
  </r>
  <r>
    <n v="34020079542"/>
    <s v="Veronica Reyes"/>
    <x v="0"/>
    <x v="4"/>
    <s v="Economia"/>
    <x v="0"/>
    <d v="1963-11-11T00:00:00"/>
    <x v="1"/>
    <x v="0"/>
    <n v="9.9"/>
    <n v="62"/>
    <x v="0"/>
  </r>
  <r>
    <n v="88285918314"/>
    <s v="Veronica Reyes"/>
    <x v="0"/>
    <x v="4"/>
    <s v="Economia"/>
    <x v="0"/>
    <d v="1989-03-18T00:00:00"/>
    <x v="0"/>
    <x v="0"/>
    <n v="9.9"/>
    <n v="37"/>
    <x v="1"/>
  </r>
  <r>
    <n v="41852635544"/>
    <s v="Victoria Murphy"/>
    <x v="0"/>
    <x v="4"/>
    <s v="Economia"/>
    <x v="2"/>
    <d v="1980-10-11T00:00:00"/>
    <x v="1"/>
    <x v="3"/>
    <n v="35.9"/>
    <n v="45"/>
    <x v="3"/>
  </r>
  <r>
    <n v="86054892010"/>
    <s v="Victoria Murphy"/>
    <x v="0"/>
    <x v="4"/>
    <s v="Economia"/>
    <x v="2"/>
    <d v="1984-09-17T00:00:00"/>
    <x v="0"/>
    <x v="3"/>
    <n v="35.9"/>
    <n v="41"/>
    <x v="1"/>
  </r>
  <r>
    <n v="41701732128"/>
    <s v="Vilma Almeida"/>
    <x v="0"/>
    <x v="4"/>
    <s v="Negócios"/>
    <x v="0"/>
    <d v="1993-08-13T00:00:00"/>
    <x v="0"/>
    <x v="0"/>
    <n v="9.9"/>
    <n v="32"/>
    <x v="2"/>
  </r>
  <r>
    <n v="53620445355"/>
    <s v="Vilma Almeida"/>
    <x v="0"/>
    <x v="4"/>
    <s v="Negócios"/>
    <x v="0"/>
    <d v="1959-09-04T00:00:00"/>
    <x v="0"/>
    <x v="0"/>
    <n v="9.9"/>
    <n v="66"/>
    <x v="0"/>
  </r>
  <r>
    <n v="54476634976"/>
    <s v="Vilma Fernandes"/>
    <x v="0"/>
    <x v="4"/>
    <s v="Esportes"/>
    <x v="2"/>
    <d v="1983-01-19T00:00:00"/>
    <x v="5"/>
    <x v="2"/>
    <n v="29.9"/>
    <n v="43"/>
    <x v="1"/>
  </r>
  <r>
    <n v="64709618097"/>
    <s v="Vilma Fernandes"/>
    <x v="0"/>
    <x v="4"/>
    <s v="Esportes"/>
    <x v="2"/>
    <d v="1965-10-04T00:00:00"/>
    <x v="0"/>
    <x v="2"/>
    <n v="29.9"/>
    <n v="60"/>
    <x v="0"/>
  </r>
  <r>
    <n v="47153877700"/>
    <s v="Vilma Martins"/>
    <x v="0"/>
    <x v="4"/>
    <s v="Economia"/>
    <x v="0"/>
    <d v="1978-10-09T00:00:00"/>
    <x v="0"/>
    <x v="3"/>
    <n v="35.9"/>
    <n v="47"/>
    <x v="3"/>
  </r>
  <r>
    <n v="47188953731"/>
    <s v="Vilma Martins"/>
    <x v="0"/>
    <x v="4"/>
    <s v="Economia"/>
    <x v="0"/>
    <d v="1980-08-01T00:00:00"/>
    <x v="0"/>
    <x v="3"/>
    <n v="35.9"/>
    <n v="45"/>
    <x v="3"/>
  </r>
  <r>
    <n v="33247836129"/>
    <s v="Vilma Oliveira"/>
    <x v="0"/>
    <x v="4"/>
    <s v="Economia"/>
    <x v="0"/>
    <d v="1995-10-16T00:00:00"/>
    <x v="0"/>
    <x v="0"/>
    <n v="9.9"/>
    <n v="30"/>
    <x v="2"/>
  </r>
  <r>
    <n v="71237243348"/>
    <s v="Vilma Oliveira"/>
    <x v="0"/>
    <x v="4"/>
    <s v="Economia"/>
    <x v="0"/>
    <d v="1985-07-07T00:00:00"/>
    <x v="0"/>
    <x v="0"/>
    <n v="9.9"/>
    <n v="40"/>
    <x v="1"/>
  </r>
  <r>
    <n v="30890249713"/>
    <s v="Addison Ward"/>
    <x v="1"/>
    <x v="4"/>
    <s v="Economia"/>
    <x v="2"/>
    <d v="1986-09-09T00:00:00"/>
    <x v="0"/>
    <x v="3"/>
    <n v="35.9"/>
    <n v="39"/>
    <x v="1"/>
  </r>
  <r>
    <n v="59017936332"/>
    <s v="Addison Ward"/>
    <x v="1"/>
    <x v="4"/>
    <s v="Economia"/>
    <x v="2"/>
    <d v="1975-08-16T00:00:00"/>
    <x v="1"/>
    <x v="3"/>
    <n v="35.9"/>
    <n v="50"/>
    <x v="3"/>
  </r>
  <r>
    <n v="37057811668"/>
    <s v="Adrian Ramirez"/>
    <x v="1"/>
    <x v="4"/>
    <s v="Economia"/>
    <x v="2"/>
    <d v="1989-05-07T00:00:00"/>
    <x v="0"/>
    <x v="0"/>
    <n v="9.9"/>
    <n v="36"/>
    <x v="1"/>
  </r>
  <r>
    <n v="38016517517"/>
    <s v="Adrian Ramirez"/>
    <x v="1"/>
    <x v="4"/>
    <s v="Economia"/>
    <x v="2"/>
    <d v="1974-10-14T00:00:00"/>
    <x v="1"/>
    <x v="0"/>
    <n v="9.9"/>
    <n v="51"/>
    <x v="3"/>
  </r>
  <r>
    <n v="37769893799"/>
    <s v="Alejandro Garcia"/>
    <x v="1"/>
    <x v="4"/>
    <s v="Finanças"/>
    <x v="1"/>
    <d v="1960-09-02T00:00:00"/>
    <x v="0"/>
    <x v="2"/>
    <n v="29.9"/>
    <n v="65"/>
    <x v="0"/>
  </r>
  <r>
    <n v="52113552792"/>
    <s v="Alejandro Garcia"/>
    <x v="1"/>
    <x v="4"/>
    <s v="Finanças"/>
    <x v="1"/>
    <d v="1963-07-25T00:00:00"/>
    <x v="3"/>
    <x v="2"/>
    <n v="29.9"/>
    <n v="62"/>
    <x v="0"/>
  </r>
  <r>
    <n v="33353271839"/>
    <s v="Alejandro Mendoza"/>
    <x v="1"/>
    <x v="4"/>
    <s v="Economia"/>
    <x v="0"/>
    <d v="1955-11-04T00:00:00"/>
    <x v="0"/>
    <x v="3"/>
    <n v="35.9"/>
    <n v="70"/>
    <x v="0"/>
  </r>
  <r>
    <n v="46483232083"/>
    <s v="Alejandro Mendoza"/>
    <x v="1"/>
    <x v="4"/>
    <s v="Economia"/>
    <x v="0"/>
    <d v="1969-02-19T00:00:00"/>
    <x v="0"/>
    <x v="3"/>
    <n v="35.9"/>
    <n v="57"/>
    <x v="0"/>
  </r>
  <r>
    <n v="36909199882"/>
    <s v="Ana Silva"/>
    <x v="1"/>
    <x v="4"/>
    <s v="Finanças"/>
    <x v="1"/>
    <d v="1981-08-09T00:00:00"/>
    <x v="5"/>
    <x v="2"/>
    <n v="29.9"/>
    <n v="44"/>
    <x v="3"/>
  </r>
  <r>
    <n v="51918800636"/>
    <s v="André Castro"/>
    <x v="1"/>
    <x v="4"/>
    <s v="Economia"/>
    <x v="0"/>
    <d v="1958-04-03T00:00:00"/>
    <x v="0"/>
    <x v="3"/>
    <n v="35.9"/>
    <n v="68"/>
    <x v="0"/>
  </r>
  <r>
    <n v="52822338787"/>
    <s v="André Castro"/>
    <x v="1"/>
    <x v="4"/>
    <s v="Economia"/>
    <x v="0"/>
    <d v="1976-10-03T00:00:00"/>
    <x v="0"/>
    <x v="3"/>
    <n v="35.9"/>
    <n v="49"/>
    <x v="3"/>
  </r>
  <r>
    <n v="47745382527"/>
    <s v="Andrew Brooks"/>
    <x v="1"/>
    <x v="4"/>
    <s v="Negócios"/>
    <x v="0"/>
    <d v="1987-10-23T00:00:00"/>
    <x v="1"/>
    <x v="0"/>
    <n v="9.9"/>
    <n v="38"/>
    <x v="1"/>
  </r>
  <r>
    <n v="72680945462"/>
    <s v="Andrew Brooks"/>
    <x v="1"/>
    <x v="4"/>
    <s v="Negócios"/>
    <x v="0"/>
    <d v="1991-04-10T00:00:00"/>
    <x v="5"/>
    <x v="0"/>
    <n v="9.9"/>
    <n v="34"/>
    <x v="2"/>
  </r>
  <r>
    <n v="52194876240"/>
    <s v="Bernardo Gomes"/>
    <x v="1"/>
    <x v="4"/>
    <s v="Economia"/>
    <x v="0"/>
    <d v="1991-04-13T00:00:00"/>
    <x v="2"/>
    <x v="3"/>
    <n v="35.9"/>
    <n v="34"/>
    <x v="2"/>
  </r>
  <r>
    <n v="83052449006"/>
    <s v="Bernardo Gomes"/>
    <x v="1"/>
    <x v="4"/>
    <s v="Economia"/>
    <x v="0"/>
    <d v="1961-11-22T00:00:00"/>
    <x v="1"/>
    <x v="3"/>
    <n v="35.9"/>
    <n v="64"/>
    <x v="0"/>
  </r>
  <r>
    <n v="49708771068"/>
    <s v="Bernardo Martins"/>
    <x v="1"/>
    <x v="4"/>
    <s v="Negócios"/>
    <x v="1"/>
    <d v="1982-01-27T00:00:00"/>
    <x v="5"/>
    <x v="0"/>
    <n v="9.9"/>
    <n v="44"/>
    <x v="3"/>
  </r>
  <r>
    <n v="98413368768"/>
    <s v="Bernardo Martins"/>
    <x v="1"/>
    <x v="4"/>
    <s v="Negócios"/>
    <x v="1"/>
    <d v="1994-10-22T00:00:00"/>
    <x v="1"/>
    <x v="0"/>
    <n v="9.9"/>
    <n v="31"/>
    <x v="2"/>
  </r>
  <r>
    <n v="29324777441"/>
    <s v="Bernardo Rodrigues"/>
    <x v="1"/>
    <x v="4"/>
    <s v="Economia"/>
    <x v="2"/>
    <d v="1968-06-23T00:00:00"/>
    <x v="1"/>
    <x v="0"/>
    <n v="9.9"/>
    <n v="57"/>
    <x v="0"/>
  </r>
  <r>
    <n v="76661469865"/>
    <s v="Bernardo Rodrigues"/>
    <x v="1"/>
    <x v="4"/>
    <s v="Economia"/>
    <x v="2"/>
    <d v="1994-08-25T00:00:00"/>
    <x v="0"/>
    <x v="0"/>
    <n v="9.9"/>
    <n v="31"/>
    <x v="2"/>
  </r>
  <r>
    <n v="38500617594"/>
    <s v="Bernardo Santos"/>
    <x v="1"/>
    <x v="4"/>
    <s v="Política"/>
    <x v="1"/>
    <d v="1989-01-25T00:00:00"/>
    <x v="7"/>
    <x v="1"/>
    <n v="79.900000000000006"/>
    <n v="37"/>
    <x v="1"/>
  </r>
  <r>
    <n v="55539019573"/>
    <s v="Bernardo Santos"/>
    <x v="1"/>
    <x v="4"/>
    <s v="Política"/>
    <x v="1"/>
    <d v="1988-10-03T00:00:00"/>
    <x v="5"/>
    <x v="1"/>
    <n v="79.900000000000006"/>
    <n v="37"/>
    <x v="1"/>
  </r>
  <r>
    <n v="32373994641"/>
    <s v="Bruno Costa"/>
    <x v="1"/>
    <x v="4"/>
    <s v="Economia"/>
    <x v="2"/>
    <d v="1956-09-18T00:00:00"/>
    <x v="6"/>
    <x v="2"/>
    <n v="29.9"/>
    <n v="69"/>
    <x v="0"/>
  </r>
  <r>
    <n v="44968480072"/>
    <s v="Bruno Costa"/>
    <x v="1"/>
    <x v="4"/>
    <s v="Economia"/>
    <x v="2"/>
    <d v="1982-11-24T00:00:00"/>
    <x v="2"/>
    <x v="2"/>
    <n v="29.9"/>
    <n v="43"/>
    <x v="1"/>
  </r>
  <r>
    <n v="30421203942"/>
    <s v="Bruno Fernandes"/>
    <x v="1"/>
    <x v="4"/>
    <s v="Agronegócio"/>
    <x v="0"/>
    <d v="1979-05-02T00:00:00"/>
    <x v="5"/>
    <x v="3"/>
    <n v="35.9"/>
    <n v="46"/>
    <x v="3"/>
  </r>
  <r>
    <n v="75196774664"/>
    <s v="Bruno Fernandes"/>
    <x v="1"/>
    <x v="4"/>
    <s v="Agronegócio"/>
    <x v="0"/>
    <d v="1960-10-18T00:00:00"/>
    <x v="2"/>
    <x v="3"/>
    <n v="35.9"/>
    <n v="65"/>
    <x v="0"/>
  </r>
  <r>
    <n v="51676477218"/>
    <s v="Bruno Gomes"/>
    <x v="1"/>
    <x v="4"/>
    <s v="Esportes"/>
    <x v="0"/>
    <d v="1967-09-25T00:00:00"/>
    <x v="1"/>
    <x v="0"/>
    <n v="9.9"/>
    <n v="58"/>
    <x v="0"/>
  </r>
  <r>
    <n v="87558717722"/>
    <s v="Bruno Gomes"/>
    <x v="1"/>
    <x v="4"/>
    <s v="Esportes"/>
    <x v="0"/>
    <d v="1978-12-21T00:00:00"/>
    <x v="1"/>
    <x v="0"/>
    <n v="9.9"/>
    <n v="47"/>
    <x v="3"/>
  </r>
  <r>
    <n v="31935346566"/>
    <s v="Bruno Pereira Rodrigues"/>
    <x v="1"/>
    <x v="4"/>
    <s v="Economia"/>
    <x v="0"/>
    <d v="1965-09-13T00:00:00"/>
    <x v="1"/>
    <x v="3"/>
    <n v="35.9"/>
    <n v="60"/>
    <x v="0"/>
  </r>
  <r>
    <n v="54783687741"/>
    <s v="Bruno Pereira Rodrigues"/>
    <x v="1"/>
    <x v="4"/>
    <s v="Economia"/>
    <x v="0"/>
    <d v="1988-10-28T00:00:00"/>
    <x v="0"/>
    <x v="3"/>
    <n v="35.9"/>
    <n v="37"/>
    <x v="1"/>
  </r>
  <r>
    <n v="29151032854"/>
    <s v="Bruno Silva"/>
    <x v="1"/>
    <x v="4"/>
    <s v="Negócios"/>
    <x v="0"/>
    <d v="1963-09-25T00:00:00"/>
    <x v="3"/>
    <x v="0"/>
    <n v="9.9"/>
    <n v="62"/>
    <x v="0"/>
  </r>
  <r>
    <n v="66760582781"/>
    <s v="Bruno Silva"/>
    <x v="1"/>
    <x v="4"/>
    <s v="Negócios"/>
    <x v="0"/>
    <d v="1971-11-14T00:00:00"/>
    <x v="0"/>
    <x v="0"/>
    <n v="9.9"/>
    <n v="54"/>
    <x v="0"/>
  </r>
  <r>
    <n v="53264395264"/>
    <s v="Cameron Coleman"/>
    <x v="1"/>
    <x v="4"/>
    <s v="Negócios"/>
    <x v="0"/>
    <d v="1975-04-21T00:00:00"/>
    <x v="1"/>
    <x v="0"/>
    <n v="9.9"/>
    <n v="50"/>
    <x v="3"/>
  </r>
  <r>
    <n v="60989752820"/>
    <s v="Cameron Coleman"/>
    <x v="1"/>
    <x v="4"/>
    <s v="Negócios"/>
    <x v="0"/>
    <d v="1991-03-31T00:00:00"/>
    <x v="7"/>
    <x v="0"/>
    <n v="9.9"/>
    <n v="34"/>
    <x v="2"/>
  </r>
  <r>
    <n v="32485376814"/>
    <s v="Carlos Lopez"/>
    <x v="1"/>
    <x v="4"/>
    <s v="Negócios"/>
    <x v="1"/>
    <d v="1967-03-05T00:00:00"/>
    <x v="7"/>
    <x v="2"/>
    <n v="29.9"/>
    <n v="59"/>
    <x v="0"/>
  </r>
  <r>
    <n v="76513561348"/>
    <s v="Carlos Lopez"/>
    <x v="1"/>
    <x v="4"/>
    <s v="Negócios"/>
    <x v="1"/>
    <d v="1986-09-12T00:00:00"/>
    <x v="0"/>
    <x v="2"/>
    <n v="29.9"/>
    <n v="39"/>
    <x v="1"/>
  </r>
  <r>
    <n v="29773455762"/>
    <s v="Christopher Ross"/>
    <x v="1"/>
    <x v="4"/>
    <s v="Finanças"/>
    <x v="1"/>
    <d v="1982-05-12T00:00:00"/>
    <x v="0"/>
    <x v="2"/>
    <n v="29.9"/>
    <n v="43"/>
    <x v="1"/>
  </r>
  <r>
    <n v="87285460641"/>
    <s v="Christopher Ross"/>
    <x v="1"/>
    <x v="4"/>
    <s v="Finanças"/>
    <x v="1"/>
    <d v="1986-01-24T00:00:00"/>
    <x v="7"/>
    <x v="2"/>
    <n v="29.9"/>
    <n v="40"/>
    <x v="1"/>
  </r>
  <r>
    <n v="23474418720"/>
    <s v="Daniel Pereira"/>
    <x v="1"/>
    <x v="4"/>
    <s v="Esportes"/>
    <x v="0"/>
    <d v="1964-06-12T00:00:00"/>
    <x v="1"/>
    <x v="2"/>
    <n v="29.9"/>
    <n v="61"/>
    <x v="0"/>
  </r>
  <r>
    <n v="96777910303"/>
    <s v="Daniel Pereira"/>
    <x v="1"/>
    <x v="4"/>
    <s v="Esportes"/>
    <x v="0"/>
    <d v="1962-02-07T00:00:00"/>
    <x v="0"/>
    <x v="2"/>
    <n v="29.9"/>
    <n v="64"/>
    <x v="0"/>
  </r>
  <r>
    <n v="44641671343"/>
    <s v="Dominic Murphy"/>
    <x v="1"/>
    <x v="4"/>
    <s v="Finanças"/>
    <x v="1"/>
    <d v="1975-06-04T00:00:00"/>
    <x v="7"/>
    <x v="0"/>
    <n v="9.9"/>
    <n v="50"/>
    <x v="3"/>
  </r>
  <r>
    <n v="54526384776"/>
    <s v="Dominic Murphy"/>
    <x v="1"/>
    <x v="4"/>
    <s v="Finanças"/>
    <x v="1"/>
    <d v="1982-01-19T00:00:00"/>
    <x v="0"/>
    <x v="0"/>
    <n v="9.9"/>
    <n v="44"/>
    <x v="3"/>
  </r>
  <r>
    <n v="45551104001"/>
    <s v="Eduardo Nunez"/>
    <x v="1"/>
    <x v="4"/>
    <s v="Negócios"/>
    <x v="1"/>
    <d v="1959-03-06T00:00:00"/>
    <x v="0"/>
    <x v="0"/>
    <n v="9.9"/>
    <n v="67"/>
    <x v="0"/>
  </r>
  <r>
    <n v="58079835440"/>
    <s v="Eduardo Nunez"/>
    <x v="1"/>
    <x v="4"/>
    <s v="Negócios"/>
    <x v="1"/>
    <d v="1966-04-12T00:00:00"/>
    <x v="0"/>
    <x v="0"/>
    <n v="9.9"/>
    <n v="59"/>
    <x v="0"/>
  </r>
  <r>
    <n v="54171024069"/>
    <s v="Eduardo Rodrigues"/>
    <x v="1"/>
    <x v="4"/>
    <s v="Agronegócio"/>
    <x v="0"/>
    <d v="1973-09-28T00:00:00"/>
    <x v="4"/>
    <x v="0"/>
    <n v="9.9"/>
    <n v="52"/>
    <x v="3"/>
  </r>
  <r>
    <n v="88425685425"/>
    <s v="Eduardo Rodrigues"/>
    <x v="1"/>
    <x v="4"/>
    <s v="Agronegócio"/>
    <x v="0"/>
    <d v="1963-07-12T00:00:00"/>
    <x v="0"/>
    <x v="0"/>
    <n v="9.9"/>
    <n v="62"/>
    <x v="0"/>
  </r>
  <r>
    <n v="43118591455"/>
    <s v="Eli Parker"/>
    <x v="1"/>
    <x v="4"/>
    <s v="Negócios"/>
    <x v="1"/>
    <d v="1968-06-25T00:00:00"/>
    <x v="0"/>
    <x v="1"/>
    <n v="79.900000000000006"/>
    <n v="57"/>
    <x v="0"/>
  </r>
  <r>
    <n v="46157189382"/>
    <s v="Eli Parker"/>
    <x v="1"/>
    <x v="4"/>
    <s v="Negócios"/>
    <x v="1"/>
    <d v="1970-11-04T00:00:00"/>
    <x v="1"/>
    <x v="1"/>
    <n v="79.900000000000006"/>
    <n v="55"/>
    <x v="0"/>
  </r>
  <r>
    <n v="52969912178"/>
    <s v="Emerson Almeida"/>
    <x v="1"/>
    <x v="4"/>
    <s v="Negócios"/>
    <x v="1"/>
    <d v="1978-04-06T00:00:00"/>
    <x v="0"/>
    <x v="1"/>
    <n v="79.900000000000006"/>
    <n v="47"/>
    <x v="3"/>
  </r>
  <r>
    <n v="58668298672"/>
    <s v="Emerson Almeida"/>
    <x v="1"/>
    <x v="4"/>
    <s v="Negócios"/>
    <x v="1"/>
    <d v="1993-07-21T00:00:00"/>
    <x v="0"/>
    <x v="1"/>
    <n v="79.900000000000006"/>
    <n v="32"/>
    <x v="2"/>
  </r>
  <r>
    <n v="31161056912"/>
    <s v="Emerson Fernandes"/>
    <x v="1"/>
    <x v="4"/>
    <s v="Economia"/>
    <x v="2"/>
    <d v="1972-12-23T00:00:00"/>
    <x v="0"/>
    <x v="3"/>
    <n v="35.9"/>
    <n v="53"/>
    <x v="3"/>
  </r>
  <r>
    <n v="38046725955"/>
    <s v="Emerson Fernandes"/>
    <x v="1"/>
    <x v="4"/>
    <s v="Economia"/>
    <x v="2"/>
    <d v="1975-07-19T00:00:00"/>
    <x v="1"/>
    <x v="3"/>
    <n v="35.9"/>
    <n v="50"/>
    <x v="3"/>
  </r>
  <r>
    <n v="43001444003"/>
    <s v="Emerson Gomes"/>
    <x v="1"/>
    <x v="4"/>
    <s v="Negócios"/>
    <x v="1"/>
    <d v="1969-08-29T00:00:00"/>
    <x v="0"/>
    <x v="2"/>
    <n v="29.9"/>
    <n v="56"/>
    <x v="0"/>
  </r>
  <r>
    <n v="97854794245"/>
    <s v="Emerson Gomes"/>
    <x v="1"/>
    <x v="4"/>
    <s v="Negócios"/>
    <x v="1"/>
    <d v="1986-06-03T00:00:00"/>
    <x v="0"/>
    <x v="2"/>
    <n v="29.9"/>
    <n v="39"/>
    <x v="1"/>
  </r>
  <r>
    <n v="48925097810"/>
    <s v="Emerson Santos"/>
    <x v="1"/>
    <x v="4"/>
    <s v="Economia"/>
    <x v="0"/>
    <d v="1959-09-10T00:00:00"/>
    <x v="1"/>
    <x v="2"/>
    <n v="29.9"/>
    <n v="66"/>
    <x v="0"/>
  </r>
  <r>
    <n v="73430417324"/>
    <s v="Emerson Santos"/>
    <x v="1"/>
    <x v="4"/>
    <s v="Economia"/>
    <x v="0"/>
    <d v="1982-01-16T00:00:00"/>
    <x v="0"/>
    <x v="2"/>
    <n v="29.9"/>
    <n v="44"/>
    <x v="3"/>
  </r>
  <r>
    <n v="50213585733"/>
    <s v="Emiliano Acosta"/>
    <x v="1"/>
    <x v="4"/>
    <s v="Economia"/>
    <x v="0"/>
    <d v="1961-09-14T00:00:00"/>
    <x v="2"/>
    <x v="0"/>
    <n v="9.9"/>
    <n v="64"/>
    <x v="0"/>
  </r>
  <r>
    <n v="84303229207"/>
    <s v="Emiliano Acosta"/>
    <x v="1"/>
    <x v="4"/>
    <s v="Economia"/>
    <x v="0"/>
    <d v="1969-05-10T00:00:00"/>
    <x v="0"/>
    <x v="0"/>
    <n v="9.9"/>
    <n v="56"/>
    <x v="0"/>
  </r>
  <r>
    <n v="40907557618"/>
    <s v="Emilio Sandoval"/>
    <x v="1"/>
    <x v="4"/>
    <s v="Economia"/>
    <x v="2"/>
    <d v="1973-02-05T00:00:00"/>
    <x v="2"/>
    <x v="3"/>
    <n v="35.9"/>
    <n v="53"/>
    <x v="3"/>
  </r>
  <r>
    <n v="46353055602"/>
    <s v="Emilio Sandoval"/>
    <x v="1"/>
    <x v="4"/>
    <s v="Economia"/>
    <x v="2"/>
    <d v="1962-06-18T00:00:00"/>
    <x v="0"/>
    <x v="3"/>
    <n v="35.9"/>
    <n v="63"/>
    <x v="0"/>
  </r>
  <r>
    <n v="41731968364"/>
    <s v="Felipe Alves Pereira"/>
    <x v="1"/>
    <x v="4"/>
    <s v="Economia"/>
    <x v="0"/>
    <d v="1969-08-04T00:00:00"/>
    <x v="3"/>
    <x v="2"/>
    <n v="29.9"/>
    <n v="56"/>
    <x v="0"/>
  </r>
  <r>
    <n v="87892351305"/>
    <s v="Felipe Alves Pereira"/>
    <x v="1"/>
    <x v="4"/>
    <s v="Economia"/>
    <x v="0"/>
    <d v="1988-12-05T00:00:00"/>
    <x v="5"/>
    <x v="2"/>
    <n v="29.9"/>
    <n v="37"/>
    <x v="1"/>
  </r>
  <r>
    <n v="40159055249"/>
    <s v="Fernando Rios"/>
    <x v="1"/>
    <x v="4"/>
    <s v="Negócios"/>
    <x v="1"/>
    <d v="1971-08-20T00:00:00"/>
    <x v="0"/>
    <x v="0"/>
    <n v="9.9"/>
    <n v="54"/>
    <x v="0"/>
  </r>
  <r>
    <n v="94367151573"/>
    <s v="Fernando Rios"/>
    <x v="1"/>
    <x v="4"/>
    <s v="Negócios"/>
    <x v="1"/>
    <d v="1982-07-22T00:00:00"/>
    <x v="5"/>
    <x v="0"/>
    <n v="9.9"/>
    <n v="43"/>
    <x v="1"/>
  </r>
  <r>
    <n v="30056943664"/>
    <s v="Francisco Chavez"/>
    <x v="1"/>
    <x v="4"/>
    <s v="Economia"/>
    <x v="0"/>
    <d v="1958-04-06T00:00:00"/>
    <x v="0"/>
    <x v="3"/>
    <n v="35.9"/>
    <n v="67"/>
    <x v="0"/>
  </r>
  <r>
    <n v="37693210425"/>
    <s v="Francisco Morales"/>
    <x v="1"/>
    <x v="4"/>
    <s v="Negócios"/>
    <x v="1"/>
    <d v="1989-06-30T00:00:00"/>
    <x v="0"/>
    <x v="3"/>
    <n v="35.9"/>
    <n v="36"/>
    <x v="1"/>
  </r>
  <r>
    <n v="39482642623"/>
    <s v="Gabriel Lima"/>
    <x v="1"/>
    <x v="4"/>
    <s v="Agronegócio"/>
    <x v="0"/>
    <d v="1969-05-07T00:00:00"/>
    <x v="3"/>
    <x v="3"/>
    <n v="35.9"/>
    <n v="56"/>
    <x v="0"/>
  </r>
  <r>
    <n v="75500284653"/>
    <s v="Gabriel Lima"/>
    <x v="1"/>
    <x v="4"/>
    <s v="Agronegócio"/>
    <x v="0"/>
    <d v="1971-11-25T00:00:00"/>
    <x v="1"/>
    <x v="3"/>
    <n v="35.9"/>
    <n v="54"/>
    <x v="0"/>
  </r>
  <r>
    <n v="45665433109"/>
    <s v="Gabriel Lima Almeida"/>
    <x v="1"/>
    <x v="4"/>
    <s v="Agronegócio"/>
    <x v="2"/>
    <d v="1980-10-05T00:00:00"/>
    <x v="0"/>
    <x v="0"/>
    <n v="9.9"/>
    <n v="45"/>
    <x v="3"/>
  </r>
  <r>
    <n v="70992659687"/>
    <s v="Gabriel Lima Almeida"/>
    <x v="1"/>
    <x v="4"/>
    <s v="Agronegócio"/>
    <x v="2"/>
    <d v="1979-09-26T00:00:00"/>
    <x v="0"/>
    <x v="0"/>
    <n v="9.9"/>
    <n v="46"/>
    <x v="3"/>
  </r>
  <r>
    <n v="27712009563"/>
    <s v="Henrique Freitas"/>
    <x v="1"/>
    <x v="4"/>
    <s v="Negócios"/>
    <x v="2"/>
    <d v="1966-08-10T00:00:00"/>
    <x v="0"/>
    <x v="2"/>
    <n v="29.9"/>
    <n v="59"/>
    <x v="0"/>
  </r>
  <r>
    <n v="82602952057"/>
    <s v="Henrique Freitas"/>
    <x v="1"/>
    <x v="4"/>
    <s v="Negócios"/>
    <x v="2"/>
    <d v="1975-03-31T00:00:00"/>
    <x v="1"/>
    <x v="2"/>
    <n v="29.9"/>
    <n v="51"/>
    <x v="3"/>
  </r>
  <r>
    <n v="42084569981"/>
    <s v="Jackson Smith"/>
    <x v="1"/>
    <x v="4"/>
    <s v="Negócios"/>
    <x v="1"/>
    <d v="1981-07-10T00:00:00"/>
    <x v="5"/>
    <x v="3"/>
    <n v="35.9"/>
    <n v="44"/>
    <x v="3"/>
  </r>
  <r>
    <n v="51680460346"/>
    <s v="Jackson Smith"/>
    <x v="1"/>
    <x v="4"/>
    <s v="Negócios"/>
    <x v="1"/>
    <d v="1989-11-01T00:00:00"/>
    <x v="1"/>
    <x v="3"/>
    <n v="35.9"/>
    <n v="36"/>
    <x v="1"/>
  </r>
  <r>
    <n v="24163969033"/>
    <s v="James Lee"/>
    <x v="1"/>
    <x v="4"/>
    <s v="Negócios"/>
    <x v="1"/>
    <d v="1993-11-21T00:00:00"/>
    <x v="7"/>
    <x v="0"/>
    <n v="9.9"/>
    <n v="32"/>
    <x v="2"/>
  </r>
  <r>
    <n v="89439201236"/>
    <s v="James Lee"/>
    <x v="1"/>
    <x v="4"/>
    <s v="Negócios"/>
    <x v="1"/>
    <d v="1978-11-16T00:00:00"/>
    <x v="4"/>
    <x v="0"/>
    <n v="9.9"/>
    <n v="47"/>
    <x v="3"/>
  </r>
  <r>
    <n v="51192158500"/>
    <s v="Jesus Castro"/>
    <x v="1"/>
    <x v="4"/>
    <s v="Política"/>
    <x v="1"/>
    <d v="1955-01-01T00:00:00"/>
    <x v="0"/>
    <x v="1"/>
    <n v="79.900000000000006"/>
    <n v="71"/>
    <x v="0"/>
  </r>
  <r>
    <n v="57367066989"/>
    <s v="Jesus Castro"/>
    <x v="1"/>
    <x v="4"/>
    <s v="Política"/>
    <x v="1"/>
    <d v="1966-05-08T00:00:00"/>
    <x v="5"/>
    <x v="1"/>
    <n v="79.900000000000006"/>
    <n v="59"/>
    <x v="0"/>
  </r>
  <r>
    <n v="54198810657"/>
    <s v="Jesus Martinez"/>
    <x v="1"/>
    <x v="4"/>
    <s v="Esportes"/>
    <x v="0"/>
    <d v="1995-05-09T00:00:00"/>
    <x v="2"/>
    <x v="0"/>
    <n v="9.9"/>
    <n v="30"/>
    <x v="2"/>
  </r>
  <r>
    <n v="95596945437"/>
    <s v="Jesus Martinez"/>
    <x v="1"/>
    <x v="4"/>
    <s v="Esportes"/>
    <x v="0"/>
    <d v="1996-01-28T00:00:00"/>
    <x v="6"/>
    <x v="0"/>
    <n v="9.9"/>
    <n v="30"/>
    <x v="2"/>
  </r>
  <r>
    <n v="33625332262"/>
    <s v="João Almeida"/>
    <x v="1"/>
    <x v="4"/>
    <s v="Economia"/>
    <x v="0"/>
    <d v="1969-11-16T00:00:00"/>
    <x v="3"/>
    <x v="3"/>
    <n v="35.9"/>
    <n v="56"/>
    <x v="0"/>
  </r>
  <r>
    <n v="96690867763"/>
    <s v="João Almeida"/>
    <x v="1"/>
    <x v="4"/>
    <s v="Economia"/>
    <x v="2"/>
    <d v="1964-12-29T00:00:00"/>
    <x v="0"/>
    <x v="3"/>
    <n v="35.9"/>
    <n v="61"/>
    <x v="0"/>
  </r>
  <r>
    <n v="35961398099"/>
    <s v="Jonathan Phillips"/>
    <x v="1"/>
    <x v="4"/>
    <s v="Política"/>
    <x v="1"/>
    <d v="1978-12-27T00:00:00"/>
    <x v="1"/>
    <x v="1"/>
    <n v="79.900000000000006"/>
    <n v="47"/>
    <x v="3"/>
  </r>
  <r>
    <n v="59847163476"/>
    <s v="Jonathan Phillips"/>
    <x v="1"/>
    <x v="4"/>
    <s v="Política"/>
    <x v="1"/>
    <d v="1977-01-13T00:00:00"/>
    <x v="0"/>
    <x v="1"/>
    <n v="79.900000000000006"/>
    <n v="49"/>
    <x v="3"/>
  </r>
  <r>
    <n v="29127263778"/>
    <s v="José Costa"/>
    <x v="1"/>
    <x v="4"/>
    <s v="Agronegócio"/>
    <x v="0"/>
    <d v="1980-01-24T00:00:00"/>
    <x v="0"/>
    <x v="3"/>
    <n v="35.9"/>
    <n v="46"/>
    <x v="3"/>
  </r>
  <r>
    <n v="81986544000"/>
    <s v="José Costa"/>
    <x v="1"/>
    <x v="4"/>
    <s v="Agronegócio"/>
    <x v="0"/>
    <d v="1983-08-01T00:00:00"/>
    <x v="0"/>
    <x v="3"/>
    <n v="35.9"/>
    <n v="42"/>
    <x v="1"/>
  </r>
  <r>
    <n v="49391829352"/>
    <s v="José Fernandes"/>
    <x v="1"/>
    <x v="4"/>
    <s v="Negócios"/>
    <x v="1"/>
    <d v="1982-06-20T00:00:00"/>
    <x v="3"/>
    <x v="3"/>
    <n v="35.9"/>
    <n v="43"/>
    <x v="1"/>
  </r>
  <r>
    <n v="65344117273"/>
    <s v="José Fernandes"/>
    <x v="1"/>
    <x v="4"/>
    <s v="Negócios"/>
    <x v="1"/>
    <d v="1969-07-12T00:00:00"/>
    <x v="1"/>
    <x v="3"/>
    <n v="35.9"/>
    <n v="56"/>
    <x v="0"/>
  </r>
  <r>
    <n v="23003948004"/>
    <s v="Jose Luis Cardenas"/>
    <x v="1"/>
    <x v="4"/>
    <s v="Agronegócio"/>
    <x v="0"/>
    <d v="1995-06-29T00:00:00"/>
    <x v="0"/>
    <x v="3"/>
    <n v="35.9"/>
    <n v="30"/>
    <x v="2"/>
  </r>
  <r>
    <n v="48816102229"/>
    <s v="Jose Luis Cardenas"/>
    <x v="1"/>
    <x v="4"/>
    <s v="Agronegócio"/>
    <x v="0"/>
    <d v="1980-04-28T00:00:00"/>
    <x v="1"/>
    <x v="3"/>
    <n v="35.9"/>
    <n v="45"/>
    <x v="3"/>
  </r>
  <r>
    <n v="29997693161"/>
    <s v="José Pereira"/>
    <x v="1"/>
    <x v="4"/>
    <s v="Economia"/>
    <x v="2"/>
    <d v="1978-10-15T00:00:00"/>
    <x v="0"/>
    <x v="0"/>
    <n v="9.9"/>
    <n v="47"/>
    <x v="3"/>
  </r>
  <r>
    <n v="48559982420"/>
    <s v="José Pereira"/>
    <x v="1"/>
    <x v="4"/>
    <s v="Economia"/>
    <x v="2"/>
    <d v="1965-01-27T00:00:00"/>
    <x v="4"/>
    <x v="0"/>
    <n v="9.9"/>
    <n v="61"/>
    <x v="0"/>
  </r>
  <r>
    <n v="50820733116"/>
    <s v="Joseph Perez"/>
    <x v="1"/>
    <x v="4"/>
    <s v="Finanças"/>
    <x v="1"/>
    <d v="1956-12-21T00:00:00"/>
    <x v="0"/>
    <x v="2"/>
    <n v="29.9"/>
    <n v="69"/>
    <x v="0"/>
  </r>
  <r>
    <n v="56213600806"/>
    <s v="Joseph Perez"/>
    <x v="1"/>
    <x v="4"/>
    <s v="Finanças"/>
    <x v="1"/>
    <d v="1980-01-15T00:00:00"/>
    <x v="0"/>
    <x v="2"/>
    <n v="29.9"/>
    <n v="46"/>
    <x v="3"/>
  </r>
  <r>
    <n v="34687761738"/>
    <s v="Julio Cesar Juarez"/>
    <x v="1"/>
    <x v="4"/>
    <s v="Economia"/>
    <x v="0"/>
    <d v="1978-07-07T00:00:00"/>
    <x v="2"/>
    <x v="2"/>
    <n v="29.9"/>
    <n v="47"/>
    <x v="3"/>
  </r>
  <r>
    <n v="97361141928"/>
    <s v="Julio Cesar Juarez"/>
    <x v="1"/>
    <x v="4"/>
    <s v="Economia"/>
    <x v="2"/>
    <d v="1987-12-12T00:00:00"/>
    <x v="0"/>
    <x v="2"/>
    <n v="29.9"/>
    <n v="38"/>
    <x v="1"/>
  </r>
  <r>
    <n v="35527656936"/>
    <s v="Lincoln Powell"/>
    <x v="1"/>
    <x v="4"/>
    <s v="Economia"/>
    <x v="1"/>
    <d v="1995-03-30T00:00:00"/>
    <x v="0"/>
    <x v="2"/>
    <n v="29.9"/>
    <n v="30"/>
    <x v="2"/>
  </r>
  <r>
    <n v="77517679683"/>
    <s v="Lincoln Powell"/>
    <x v="1"/>
    <x v="4"/>
    <s v="Economia"/>
    <x v="1"/>
    <d v="1991-08-23T00:00:00"/>
    <x v="1"/>
    <x v="2"/>
    <n v="29.9"/>
    <n v="34"/>
    <x v="2"/>
  </r>
  <r>
    <n v="52340215967"/>
    <s v="Lucas Fernandes"/>
    <x v="1"/>
    <x v="4"/>
    <s v="Economia"/>
    <x v="0"/>
    <d v="1962-04-06T00:00:00"/>
    <x v="5"/>
    <x v="3"/>
    <n v="35.9"/>
    <n v="63"/>
    <x v="0"/>
  </r>
  <r>
    <n v="58747813272"/>
    <s v="Lucas Fernandes"/>
    <x v="1"/>
    <x v="4"/>
    <s v="Economia"/>
    <x v="0"/>
    <d v="1979-05-17T00:00:00"/>
    <x v="3"/>
    <x v="3"/>
    <n v="35.9"/>
    <n v="46"/>
    <x v="3"/>
  </r>
  <r>
    <n v="55350189669"/>
    <s v="Lucia Sanchez"/>
    <x v="1"/>
    <x v="4"/>
    <s v="Negócios"/>
    <x v="2"/>
    <d v="1957-07-22T00:00:00"/>
    <x v="1"/>
    <x v="2"/>
    <n v="29.9"/>
    <n v="68"/>
    <x v="0"/>
  </r>
  <r>
    <n v="79152697017"/>
    <s v="Lucia Sanchez"/>
    <x v="1"/>
    <x v="4"/>
    <s v="Negócios"/>
    <x v="2"/>
    <d v="1987-02-07T00:00:00"/>
    <x v="0"/>
    <x v="2"/>
    <n v="29.9"/>
    <n v="39"/>
    <x v="1"/>
  </r>
  <r>
    <n v="25186825602"/>
    <s v="Lucy Brooks"/>
    <x v="1"/>
    <x v="4"/>
    <s v="Economia"/>
    <x v="0"/>
    <d v="1963-04-23T00:00:00"/>
    <x v="0"/>
    <x v="2"/>
    <n v="29.9"/>
    <n v="62"/>
    <x v="0"/>
  </r>
  <r>
    <n v="87436471754"/>
    <s v="Lucy Brooks"/>
    <x v="1"/>
    <x v="4"/>
    <s v="Economia"/>
    <x v="0"/>
    <d v="1960-02-04T00:00:00"/>
    <x v="1"/>
    <x v="2"/>
    <n v="29.9"/>
    <n v="66"/>
    <x v="0"/>
  </r>
  <r>
    <n v="48822792088"/>
    <s v="Luiz Rodrigues"/>
    <x v="1"/>
    <x v="4"/>
    <s v="Economia"/>
    <x v="0"/>
    <d v="1984-03-02T00:00:00"/>
    <x v="2"/>
    <x v="0"/>
    <n v="9.9"/>
    <n v="42"/>
    <x v="1"/>
  </r>
  <r>
    <n v="91279323809"/>
    <s v="Luiz Rodrigues"/>
    <x v="1"/>
    <x v="4"/>
    <s v="Economia"/>
    <x v="0"/>
    <d v="1975-02-18T00:00:00"/>
    <x v="0"/>
    <x v="0"/>
    <n v="9.9"/>
    <n v="51"/>
    <x v="3"/>
  </r>
  <r>
    <n v="31841604153"/>
    <s v="Luz Maria Maldonado"/>
    <x v="1"/>
    <x v="4"/>
    <s v="Finanças"/>
    <x v="1"/>
    <d v="1984-11-05T00:00:00"/>
    <x v="1"/>
    <x v="2"/>
    <n v="29.9"/>
    <n v="41"/>
    <x v="1"/>
  </r>
  <r>
    <n v="33898601118"/>
    <s v="Luz Maria Maldonado"/>
    <x v="1"/>
    <x v="4"/>
    <s v="Finanças"/>
    <x v="1"/>
    <d v="1976-08-31T00:00:00"/>
    <x v="1"/>
    <x v="2"/>
    <n v="29.9"/>
    <n v="49"/>
    <x v="3"/>
  </r>
  <r>
    <n v="38385048319"/>
    <s v="Madison Green"/>
    <x v="1"/>
    <x v="4"/>
    <s v="Agronegócio"/>
    <x v="0"/>
    <d v="1967-04-19T00:00:00"/>
    <x v="0"/>
    <x v="1"/>
    <n v="79.900000000000006"/>
    <n v="58"/>
    <x v="0"/>
  </r>
  <r>
    <n v="56111428025"/>
    <s v="Madison Green"/>
    <x v="1"/>
    <x v="4"/>
    <s v="Agronegócio"/>
    <x v="0"/>
    <d v="1989-02-06T00:00:00"/>
    <x v="0"/>
    <x v="1"/>
    <n v="79.900000000000006"/>
    <n v="37"/>
    <x v="1"/>
  </r>
  <r>
    <n v="47514609560"/>
    <s v="Manuel Jimenez"/>
    <x v="1"/>
    <x v="4"/>
    <s v="Negócios"/>
    <x v="1"/>
    <d v="1960-10-03T00:00:00"/>
    <x v="1"/>
    <x v="3"/>
    <n v="35.9"/>
    <n v="65"/>
    <x v="0"/>
  </r>
  <r>
    <n v="71472265989"/>
    <s v="Manuel Jimenez"/>
    <x v="1"/>
    <x v="4"/>
    <s v="Negócios"/>
    <x v="1"/>
    <d v="1981-02-09T00:00:00"/>
    <x v="1"/>
    <x v="3"/>
    <n v="35.9"/>
    <n v="45"/>
    <x v="3"/>
  </r>
  <r>
    <n v="38574789204"/>
    <s v="Marcelo Costa"/>
    <x v="1"/>
    <x v="4"/>
    <s v="Política"/>
    <x v="1"/>
    <d v="1969-10-11T00:00:00"/>
    <x v="5"/>
    <x v="1"/>
    <n v="79.900000000000006"/>
    <n v="56"/>
    <x v="0"/>
  </r>
  <r>
    <n v="89207609844"/>
    <s v="Marcelo Costa"/>
    <x v="1"/>
    <x v="4"/>
    <s v="Política"/>
    <x v="1"/>
    <d v="1972-04-13T00:00:00"/>
    <x v="6"/>
    <x v="1"/>
    <n v="79.900000000000006"/>
    <n v="53"/>
    <x v="3"/>
  </r>
  <r>
    <n v="47393301586"/>
    <s v="Marcelo Pereira"/>
    <x v="1"/>
    <x v="4"/>
    <s v="Economia"/>
    <x v="2"/>
    <d v="1993-12-24T00:00:00"/>
    <x v="3"/>
    <x v="0"/>
    <n v="9.9"/>
    <n v="32"/>
    <x v="2"/>
  </r>
  <r>
    <n v="51958244063"/>
    <s v="Marcelo Pereira"/>
    <x v="1"/>
    <x v="4"/>
    <s v="Economia"/>
    <x v="2"/>
    <d v="1979-03-10T00:00:00"/>
    <x v="0"/>
    <x v="0"/>
    <n v="9.9"/>
    <n v="47"/>
    <x v="3"/>
  </r>
  <r>
    <n v="30314403216"/>
    <s v="Marcelo Santos"/>
    <x v="1"/>
    <x v="4"/>
    <s v="Esportes"/>
    <x v="0"/>
    <d v="1992-01-21T00:00:00"/>
    <x v="7"/>
    <x v="0"/>
    <n v="9.9"/>
    <n v="34"/>
    <x v="2"/>
  </r>
  <r>
    <n v="61010920820"/>
    <s v="Marcelo Santos"/>
    <x v="1"/>
    <x v="4"/>
    <s v="Esportes"/>
    <x v="0"/>
    <d v="1978-08-03T00:00:00"/>
    <x v="4"/>
    <x v="0"/>
    <n v="9.9"/>
    <n v="47"/>
    <x v="3"/>
  </r>
  <r>
    <n v="40164211200"/>
    <s v="Marcelo Silva"/>
    <x v="1"/>
    <x v="4"/>
    <s v="Economia"/>
    <x v="0"/>
    <d v="1958-04-18T00:00:00"/>
    <x v="0"/>
    <x v="3"/>
    <n v="35.9"/>
    <n v="67"/>
    <x v="0"/>
  </r>
  <r>
    <n v="81254163050"/>
    <s v="Marcelo Silva"/>
    <x v="1"/>
    <x v="4"/>
    <s v="Economia"/>
    <x v="0"/>
    <d v="1980-11-29T00:00:00"/>
    <x v="5"/>
    <x v="3"/>
    <n v="35.9"/>
    <n v="45"/>
    <x v="3"/>
  </r>
  <r>
    <n v="48537217226"/>
    <s v="Marcos Barbosa"/>
    <x v="1"/>
    <x v="4"/>
    <s v="Agronegócio"/>
    <x v="2"/>
    <d v="1981-04-21T00:00:00"/>
    <x v="6"/>
    <x v="3"/>
    <n v="35.9"/>
    <n v="44"/>
    <x v="3"/>
  </r>
  <r>
    <n v="82208515205"/>
    <s v="Marcos Barbosa"/>
    <x v="1"/>
    <x v="4"/>
    <s v="Agronegócio"/>
    <x v="2"/>
    <d v="1981-06-01T00:00:00"/>
    <x v="3"/>
    <x v="3"/>
    <n v="35.9"/>
    <n v="44"/>
    <x v="3"/>
  </r>
  <r>
    <n v="39864520583"/>
    <s v="Mateus Almeida"/>
    <x v="1"/>
    <x v="4"/>
    <s v="Economia"/>
    <x v="0"/>
    <d v="1994-12-21T00:00:00"/>
    <x v="0"/>
    <x v="3"/>
    <n v="35.9"/>
    <n v="31"/>
    <x v="2"/>
  </r>
  <r>
    <n v="79692046981"/>
    <s v="Mateus Almeida"/>
    <x v="1"/>
    <x v="4"/>
    <s v="Economia"/>
    <x v="0"/>
    <d v="1976-10-19T00:00:00"/>
    <x v="2"/>
    <x v="3"/>
    <n v="35.9"/>
    <n v="49"/>
    <x v="3"/>
  </r>
  <r>
    <n v="31834447574"/>
    <s v="Maya Watson"/>
    <x v="1"/>
    <x v="4"/>
    <s v="Agronegócio"/>
    <x v="2"/>
    <d v="1992-11-12T00:00:00"/>
    <x v="1"/>
    <x v="0"/>
    <n v="9.9"/>
    <n v="33"/>
    <x v="2"/>
  </r>
  <r>
    <n v="46533166609"/>
    <s v="Maya Watson"/>
    <x v="1"/>
    <x v="4"/>
    <s v="Agronegócio"/>
    <x v="2"/>
    <d v="1992-06-10T00:00:00"/>
    <x v="2"/>
    <x v="0"/>
    <n v="9.9"/>
    <n v="33"/>
    <x v="2"/>
  </r>
  <r>
    <n v="46447828715"/>
    <s v="Miguel Angel Gonzalez"/>
    <x v="1"/>
    <x v="4"/>
    <s v="Economia"/>
    <x v="0"/>
    <d v="1985-11-20T00:00:00"/>
    <x v="0"/>
    <x v="2"/>
    <n v="29.9"/>
    <n v="40"/>
    <x v="1"/>
  </r>
  <r>
    <n v="86852773998"/>
    <s v="Miguel Angel Gonzalez"/>
    <x v="1"/>
    <x v="4"/>
    <s v="Economia"/>
    <x v="0"/>
    <d v="1971-08-09T00:00:00"/>
    <x v="0"/>
    <x v="2"/>
    <n v="29.9"/>
    <n v="54"/>
    <x v="0"/>
  </r>
  <r>
    <n v="49609420133"/>
    <s v="Miguel Rivera"/>
    <x v="1"/>
    <x v="4"/>
    <s v="Agronegócio"/>
    <x v="0"/>
    <d v="1962-04-30T00:00:00"/>
    <x v="1"/>
    <x v="1"/>
    <n v="79.900000000000006"/>
    <n v="63"/>
    <x v="0"/>
  </r>
  <r>
    <n v="65014260265"/>
    <s v="Miguel Rivera"/>
    <x v="1"/>
    <x v="4"/>
    <s v="Agronegócio"/>
    <x v="0"/>
    <d v="1978-02-06T00:00:00"/>
    <x v="7"/>
    <x v="1"/>
    <n v="79.900000000000006"/>
    <n v="48"/>
    <x v="3"/>
  </r>
  <r>
    <n v="41215776974"/>
    <s v="Noah Jones"/>
    <x v="1"/>
    <x v="4"/>
    <s v="Finanças"/>
    <x v="0"/>
    <d v="1975-12-04T00:00:00"/>
    <x v="0"/>
    <x v="2"/>
    <n v="29.9"/>
    <n v="50"/>
    <x v="3"/>
  </r>
  <r>
    <n v="47725755906"/>
    <s v="Noah Jones"/>
    <x v="1"/>
    <x v="4"/>
    <s v="Finanças"/>
    <x v="0"/>
    <d v="1988-05-05T00:00:00"/>
    <x v="1"/>
    <x v="2"/>
    <n v="29.9"/>
    <n v="37"/>
    <x v="1"/>
  </r>
  <r>
    <n v="48460714260"/>
    <s v="Oliver Thompson"/>
    <x v="1"/>
    <x v="4"/>
    <s v="Negócios"/>
    <x v="1"/>
    <d v="1980-01-02T00:00:00"/>
    <x v="2"/>
    <x v="0"/>
    <n v="9.9"/>
    <n v="46"/>
    <x v="3"/>
  </r>
  <r>
    <n v="92217554531"/>
    <s v="Oliver Thompson"/>
    <x v="1"/>
    <x v="4"/>
    <s v="Negócios"/>
    <x v="1"/>
    <d v="1980-11-23T00:00:00"/>
    <x v="0"/>
    <x v="0"/>
    <n v="9.9"/>
    <n v="45"/>
    <x v="3"/>
  </r>
  <r>
    <n v="55370247974"/>
    <s v="Owen Watson"/>
    <x v="1"/>
    <x v="4"/>
    <s v="Negócios"/>
    <x v="1"/>
    <d v="1960-05-15T00:00:00"/>
    <x v="1"/>
    <x v="0"/>
    <n v="9.9"/>
    <n v="65"/>
    <x v="0"/>
  </r>
  <r>
    <n v="65345196819"/>
    <s v="Owen Watson"/>
    <x v="1"/>
    <x v="4"/>
    <s v="Negócios"/>
    <x v="1"/>
    <d v="1989-04-29T00:00:00"/>
    <x v="1"/>
    <x v="0"/>
    <n v="9.9"/>
    <n v="36"/>
    <x v="1"/>
  </r>
  <r>
    <n v="39632140009"/>
    <s v="Pedro Almeida"/>
    <x v="1"/>
    <x v="4"/>
    <s v="Finanças"/>
    <x v="0"/>
    <d v="1987-10-31T00:00:00"/>
    <x v="1"/>
    <x v="2"/>
    <n v="29.9"/>
    <n v="38"/>
    <x v="1"/>
  </r>
  <r>
    <n v="46610379858"/>
    <s v="Pedro Fernandes"/>
    <x v="1"/>
    <x v="4"/>
    <s v="Economia"/>
    <x v="0"/>
    <d v="1962-10-13T00:00:00"/>
    <x v="6"/>
    <x v="0"/>
    <n v="9.9"/>
    <n v="63"/>
    <x v="0"/>
  </r>
  <r>
    <n v="47922430248"/>
    <s v="Pedro Fernandes"/>
    <x v="1"/>
    <x v="4"/>
    <s v="Economia"/>
    <x v="0"/>
    <d v="1967-04-16T00:00:00"/>
    <x v="5"/>
    <x v="0"/>
    <n v="9.9"/>
    <n v="58"/>
    <x v="0"/>
  </r>
  <r>
    <n v="31971403474"/>
    <s v="Pedro Gomes"/>
    <x v="1"/>
    <x v="4"/>
    <s v="Negócios"/>
    <x v="0"/>
    <d v="1989-06-18T00:00:00"/>
    <x v="5"/>
    <x v="2"/>
    <n v="29.9"/>
    <n v="36"/>
    <x v="1"/>
  </r>
  <r>
    <n v="65252032106"/>
    <s v="Pedro Gomes"/>
    <x v="1"/>
    <x v="4"/>
    <s v="Negócios"/>
    <x v="0"/>
    <d v="1970-01-29T00:00:00"/>
    <x v="1"/>
    <x v="2"/>
    <n v="29.9"/>
    <n v="56"/>
    <x v="0"/>
  </r>
  <r>
    <n v="47497279533"/>
    <s v="Pedro Silva"/>
    <x v="1"/>
    <x v="4"/>
    <s v="Agronegócio"/>
    <x v="0"/>
    <d v="1985-05-08T00:00:00"/>
    <x v="7"/>
    <x v="1"/>
    <n v="79.900000000000006"/>
    <n v="40"/>
    <x v="1"/>
  </r>
  <r>
    <n v="96189222892"/>
    <s v="Pedro Silva"/>
    <x v="1"/>
    <x v="4"/>
    <s v="Agronegócio"/>
    <x v="2"/>
    <d v="1976-04-12T00:00:00"/>
    <x v="1"/>
    <x v="1"/>
    <n v="79.900000000000006"/>
    <n v="49"/>
    <x v="3"/>
  </r>
  <r>
    <n v="28054126958"/>
    <s v="Pedro Torres"/>
    <x v="1"/>
    <x v="4"/>
    <s v="Economia"/>
    <x v="2"/>
    <d v="1981-09-01T00:00:00"/>
    <x v="4"/>
    <x v="3"/>
    <n v="35.9"/>
    <n v="44"/>
    <x v="3"/>
  </r>
  <r>
    <n v="87868289945"/>
    <s v="Pedro Torres"/>
    <x v="1"/>
    <x v="4"/>
    <s v="Economia"/>
    <x v="2"/>
    <d v="1998-02-26T00:00:00"/>
    <x v="1"/>
    <x v="3"/>
    <n v="35.9"/>
    <n v="28"/>
    <x v="2"/>
  </r>
  <r>
    <n v="23247585094"/>
    <s v="Rafael Costa"/>
    <x v="1"/>
    <x v="4"/>
    <s v="Esportes"/>
    <x v="2"/>
    <d v="1987-02-01T00:00:00"/>
    <x v="3"/>
    <x v="0"/>
    <n v="9.9"/>
    <n v="39"/>
    <x v="1"/>
  </r>
  <r>
    <n v="81073311563"/>
    <s v="Rafael Costa"/>
    <x v="1"/>
    <x v="4"/>
    <s v="Esportes"/>
    <x v="2"/>
    <d v="1980-10-05T00:00:00"/>
    <x v="2"/>
    <x v="0"/>
    <n v="9.9"/>
    <n v="45"/>
    <x v="3"/>
  </r>
  <r>
    <n v="38436562260"/>
    <s v="Rafael Fernandes"/>
    <x v="1"/>
    <x v="4"/>
    <s v="Economia"/>
    <x v="0"/>
    <d v="1984-12-02T00:00:00"/>
    <x v="3"/>
    <x v="3"/>
    <n v="35.9"/>
    <n v="41"/>
    <x v="1"/>
  </r>
  <r>
    <n v="42808465160"/>
    <s v="Rafael Fernandes"/>
    <x v="1"/>
    <x v="4"/>
    <s v="Economia"/>
    <x v="0"/>
    <d v="1971-09-10T00:00:00"/>
    <x v="2"/>
    <x v="3"/>
    <n v="35.9"/>
    <n v="54"/>
    <x v="0"/>
  </r>
  <r>
    <n v="47564971365"/>
    <s v="Rafael Ferreira"/>
    <x v="1"/>
    <x v="4"/>
    <s v="Economia"/>
    <x v="2"/>
    <d v="1983-11-22T00:00:00"/>
    <x v="1"/>
    <x v="2"/>
    <n v="29.9"/>
    <n v="42"/>
    <x v="1"/>
  </r>
  <r>
    <n v="96683513690"/>
    <s v="Rafael Ferreira"/>
    <x v="1"/>
    <x v="4"/>
    <s v="Economia"/>
    <x v="2"/>
    <d v="1994-10-24T00:00:00"/>
    <x v="0"/>
    <x v="2"/>
    <n v="29.9"/>
    <n v="31"/>
    <x v="2"/>
  </r>
  <r>
    <n v="37966879871"/>
    <s v="Rafael Martins"/>
    <x v="1"/>
    <x v="4"/>
    <s v="Agronegócio"/>
    <x v="0"/>
    <d v="1965-11-28T00:00:00"/>
    <x v="1"/>
    <x v="1"/>
    <n v="79.900000000000006"/>
    <n v="60"/>
    <x v="0"/>
  </r>
  <r>
    <n v="65784346414"/>
    <s v="Rafael Martins"/>
    <x v="1"/>
    <x v="4"/>
    <s v="Agronegócio"/>
    <x v="0"/>
    <d v="1999-10-20T00:00:00"/>
    <x v="5"/>
    <x v="1"/>
    <n v="79.900000000000006"/>
    <n v="26"/>
    <x v="2"/>
  </r>
  <r>
    <n v="40810919120"/>
    <s v="Rafael Oliveira"/>
    <x v="1"/>
    <x v="4"/>
    <s v="Negócios"/>
    <x v="1"/>
    <d v="1960-08-03T00:00:00"/>
    <x v="7"/>
    <x v="3"/>
    <n v="35.9"/>
    <n v="65"/>
    <x v="0"/>
  </r>
  <r>
    <n v="44133248813"/>
    <s v="Rafael Oliveira"/>
    <x v="1"/>
    <x v="4"/>
    <s v="Negócios"/>
    <x v="1"/>
    <d v="1987-03-15T00:00:00"/>
    <x v="2"/>
    <x v="3"/>
    <n v="35.9"/>
    <n v="39"/>
    <x v="1"/>
  </r>
  <r>
    <n v="33221309333"/>
    <s v="Raul Dominguez"/>
    <x v="1"/>
    <x v="4"/>
    <s v="Agronegócio"/>
    <x v="2"/>
    <d v="1960-03-27T00:00:00"/>
    <x v="0"/>
    <x v="0"/>
    <n v="9.9"/>
    <n v="66"/>
    <x v="0"/>
  </r>
  <r>
    <n v="63042983789"/>
    <s v="Raul Dominguez"/>
    <x v="1"/>
    <x v="4"/>
    <s v="Agronegócio"/>
    <x v="2"/>
    <d v="1989-06-04T00:00:00"/>
    <x v="5"/>
    <x v="0"/>
    <n v="9.9"/>
    <n v="36"/>
    <x v="1"/>
  </r>
  <r>
    <n v="24476290628"/>
    <s v="Ricardo Barbosa"/>
    <x v="1"/>
    <x v="4"/>
    <s v="Esportes"/>
    <x v="2"/>
    <d v="1974-10-15T00:00:00"/>
    <x v="5"/>
    <x v="0"/>
    <n v="9.9"/>
    <n v="51"/>
    <x v="3"/>
  </r>
  <r>
    <n v="59003331678"/>
    <s v="Ricardo Barbosa"/>
    <x v="1"/>
    <x v="4"/>
    <s v="Esportes"/>
    <x v="2"/>
    <d v="1988-01-10T00:00:00"/>
    <x v="1"/>
    <x v="0"/>
    <n v="9.9"/>
    <n v="38"/>
    <x v="1"/>
  </r>
  <r>
    <n v="30557538193"/>
    <s v="Ricardo Lara"/>
    <x v="1"/>
    <x v="4"/>
    <s v="Economia"/>
    <x v="0"/>
    <d v="1969-11-22T00:00:00"/>
    <x v="5"/>
    <x v="3"/>
    <n v="35.9"/>
    <n v="56"/>
    <x v="0"/>
  </r>
  <r>
    <n v="61123160920"/>
    <s v="Ricardo Lara"/>
    <x v="1"/>
    <x v="4"/>
    <s v="Economia"/>
    <x v="0"/>
    <d v="1985-02-14T00:00:00"/>
    <x v="2"/>
    <x v="3"/>
    <n v="35.9"/>
    <n v="41"/>
    <x v="1"/>
  </r>
  <r>
    <n v="49996091120"/>
    <s v="Ricardo Navarro"/>
    <x v="1"/>
    <x v="4"/>
    <s v="Finanças"/>
    <x v="0"/>
    <d v="1955-12-12T00:00:00"/>
    <x v="0"/>
    <x v="2"/>
    <n v="29.9"/>
    <n v="70"/>
    <x v="0"/>
  </r>
  <r>
    <n v="80034583746"/>
    <s v="Ricardo Navarro"/>
    <x v="1"/>
    <x v="4"/>
    <s v="Finanças"/>
    <x v="0"/>
    <d v="1975-03-25T00:00:00"/>
    <x v="3"/>
    <x v="2"/>
    <n v="29.9"/>
    <n v="51"/>
    <x v="3"/>
  </r>
  <r>
    <n v="43739297869"/>
    <s v="Rodrigo Oliveira Mendes"/>
    <x v="1"/>
    <x v="4"/>
    <s v="Economia"/>
    <x v="2"/>
    <d v="1993-09-26T00:00:00"/>
    <x v="1"/>
    <x v="0"/>
    <n v="9.9"/>
    <n v="32"/>
    <x v="2"/>
  </r>
  <r>
    <n v="57304884506"/>
    <s v="Rodrigo Oliveira Mendes"/>
    <x v="1"/>
    <x v="4"/>
    <s v="Economia"/>
    <x v="2"/>
    <d v="1971-08-16T00:00:00"/>
    <x v="4"/>
    <x v="0"/>
    <n v="9.9"/>
    <n v="54"/>
    <x v="0"/>
  </r>
  <r>
    <n v="44417946805"/>
    <s v="Rylee Fisher"/>
    <x v="1"/>
    <x v="4"/>
    <s v="Agronegócio"/>
    <x v="2"/>
    <d v="1977-02-21T00:00:00"/>
    <x v="3"/>
    <x v="3"/>
    <n v="35.9"/>
    <n v="49"/>
    <x v="3"/>
  </r>
  <r>
    <n v="85741899575"/>
    <s v="Rylee Fisher"/>
    <x v="1"/>
    <x v="4"/>
    <s v="Agronegócio"/>
    <x v="2"/>
    <d v="1965-03-30T00:00:00"/>
    <x v="1"/>
    <x v="3"/>
    <n v="35.9"/>
    <n v="61"/>
    <x v="0"/>
  </r>
  <r>
    <n v="31654890307"/>
    <s v="Sandra Souza"/>
    <x v="1"/>
    <x v="4"/>
    <s v="Negócios"/>
    <x v="0"/>
    <d v="1958-01-08T00:00:00"/>
    <x v="7"/>
    <x v="0"/>
    <n v="9.9"/>
    <n v="68"/>
    <x v="0"/>
  </r>
  <r>
    <n v="66893530711"/>
    <s v="Sandra Souza"/>
    <x v="1"/>
    <x v="4"/>
    <s v="Negócios"/>
    <x v="0"/>
    <d v="1987-07-17T00:00:00"/>
    <x v="0"/>
    <x v="0"/>
    <n v="9.9"/>
    <n v="38"/>
    <x v="1"/>
  </r>
  <r>
    <n v="36049081781"/>
    <s v="Serenity Morris"/>
    <x v="1"/>
    <x v="4"/>
    <s v="Economia"/>
    <x v="0"/>
    <d v="1982-08-31T00:00:00"/>
    <x v="1"/>
    <x v="3"/>
    <n v="35.9"/>
    <n v="43"/>
    <x v="1"/>
  </r>
  <r>
    <n v="43251978310"/>
    <s v="Serenity Morris"/>
    <x v="1"/>
    <x v="4"/>
    <s v="Economia"/>
    <x v="0"/>
    <d v="1975-03-13T00:00:00"/>
    <x v="0"/>
    <x v="3"/>
    <n v="35.9"/>
    <n v="51"/>
    <x v="3"/>
  </r>
  <r>
    <n v="35090452105"/>
    <s v="Thiago Barbosa"/>
    <x v="1"/>
    <x v="4"/>
    <s v="Esportes"/>
    <x v="0"/>
    <d v="1964-05-20T00:00:00"/>
    <x v="5"/>
    <x v="0"/>
    <n v="9.9"/>
    <n v="61"/>
    <x v="0"/>
  </r>
  <r>
    <n v="57970733283"/>
    <s v="Thiago Barbosa"/>
    <x v="1"/>
    <x v="4"/>
    <s v="Esportes"/>
    <x v="0"/>
    <d v="1965-11-15T00:00:00"/>
    <x v="0"/>
    <x v="0"/>
    <n v="9.9"/>
    <n v="60"/>
    <x v="0"/>
  </r>
  <r>
    <n v="39680758592"/>
    <s v="Thiago Barbosa Santos"/>
    <x v="1"/>
    <x v="4"/>
    <s v="Economia"/>
    <x v="0"/>
    <d v="1988-04-20T00:00:00"/>
    <x v="1"/>
    <x v="0"/>
    <n v="9.9"/>
    <n v="37"/>
    <x v="1"/>
  </r>
  <r>
    <n v="52175547539"/>
    <s v="Thiago Barbosa Santos"/>
    <x v="1"/>
    <x v="4"/>
    <s v="Economia"/>
    <x v="0"/>
    <d v="1986-09-20T00:00:00"/>
    <x v="4"/>
    <x v="0"/>
    <n v="9.9"/>
    <n v="39"/>
    <x v="1"/>
  </r>
  <r>
    <n v="27882905440"/>
    <s v="William Allen"/>
    <x v="1"/>
    <x v="4"/>
    <s v="Negócios"/>
    <x v="1"/>
    <d v="1984-03-29T00:00:00"/>
    <x v="3"/>
    <x v="3"/>
    <n v="35.9"/>
    <n v="42"/>
    <x v="1"/>
  </r>
  <r>
    <n v="53634568625"/>
    <s v="William Allen"/>
    <x v="1"/>
    <x v="4"/>
    <s v="Negócios"/>
    <x v="1"/>
    <d v="1981-05-05T00:00:00"/>
    <x v="0"/>
    <x v="3"/>
    <n v="35.9"/>
    <n v="44"/>
    <x v="3"/>
  </r>
  <r>
    <n v="42745218846"/>
    <s v="William Costa"/>
    <x v="1"/>
    <x v="4"/>
    <s v="Economia"/>
    <x v="2"/>
    <d v="1978-09-05T00:00:00"/>
    <x v="1"/>
    <x v="3"/>
    <n v="35.9"/>
    <n v="47"/>
    <x v="3"/>
  </r>
  <r>
    <n v="49141215224"/>
    <s v="William Costa"/>
    <x v="1"/>
    <x v="4"/>
    <s v="Economia"/>
    <x v="2"/>
    <d v="1955-06-11T00:00:00"/>
    <x v="0"/>
    <x v="3"/>
    <n v="35.9"/>
    <n v="70"/>
    <x v="0"/>
  </r>
  <r>
    <n v="34161309302"/>
    <s v="William Martins"/>
    <x v="1"/>
    <x v="4"/>
    <s v="Economia"/>
    <x v="0"/>
    <d v="1995-05-11T00:00:00"/>
    <x v="5"/>
    <x v="3"/>
    <n v="35.9"/>
    <n v="30"/>
    <x v="2"/>
  </r>
  <r>
    <n v="69275333938"/>
    <s v="William Martins"/>
    <x v="1"/>
    <x v="4"/>
    <s v="Economia"/>
    <x v="0"/>
    <d v="1974-08-01T00:00:00"/>
    <x v="0"/>
    <x v="3"/>
    <n v="35.9"/>
    <n v="51"/>
    <x v="3"/>
  </r>
  <r>
    <n v="43449469621"/>
    <s v="William Oliveira"/>
    <x v="1"/>
    <x v="4"/>
    <s v="Finanças"/>
    <x v="1"/>
    <d v="1970-06-04T00:00:00"/>
    <x v="1"/>
    <x v="2"/>
    <n v="29.9"/>
    <n v="55"/>
    <x v="0"/>
  </r>
  <r>
    <n v="67780271893"/>
    <s v="William Oliveira"/>
    <x v="1"/>
    <x v="4"/>
    <s v="Finanças"/>
    <x v="1"/>
    <d v="1991-05-31T00:00:00"/>
    <x v="3"/>
    <x v="2"/>
    <n v="29.9"/>
    <n v="34"/>
    <x v="2"/>
  </r>
  <r>
    <n v="45125322860"/>
    <s v="William Pereira"/>
    <x v="1"/>
    <x v="4"/>
    <s v="Finanças"/>
    <x v="1"/>
    <d v="1986-05-20T00:00:00"/>
    <x v="1"/>
    <x v="0"/>
    <n v="9.9"/>
    <n v="39"/>
    <x v="1"/>
  </r>
  <r>
    <n v="51815365690"/>
    <s v="William Pereira"/>
    <x v="1"/>
    <x v="4"/>
    <s v="Finanças"/>
    <x v="1"/>
    <d v="1963-06-14T00:00:00"/>
    <x v="0"/>
    <x v="0"/>
    <n v="9.9"/>
    <n v="6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02238-1072-404B-A629-69CC217D1FC1}" name="BasesTotai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5:C8" firstHeaderRow="1" firstDataRow="1" firstDataCol="1"/>
  <pivotFields count="12">
    <pivotField numFmtId="164"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numFmtId="165" showAll="0"/>
    <pivotField showAll="0"/>
    <pivotField showAll="0">
      <items count="5">
        <item x="2"/>
        <item x="1"/>
        <item x="3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ntagem de Gêner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7A945-62AE-F047-8287-E9D5C0C3629D}" name="Receit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5:X6" firstHeaderRow="1" firstDataRow="1" firstDataCol="0"/>
  <pivotFields count="12">
    <pivotField numFmtId="164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dataField="1" numFmtId="165" showAll="0"/>
    <pivotField showAll="0"/>
    <pivotField showAll="0">
      <items count="5">
        <item x="2"/>
        <item x="1"/>
        <item x="3"/>
        <item x="0"/>
        <item t="default"/>
      </items>
    </pivotField>
  </pivotFields>
  <rowItems count="1">
    <i/>
  </rowItems>
  <colItems count="1">
    <i/>
  </colItems>
  <dataFields count="1">
    <dataField name=" Mensalidades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A08AC-E204-D643-8868-93C5DB24E1BD}" name="GrauEscolaridad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5:AB11" firstHeaderRow="1" firstDataRow="1" firstDataCol="1"/>
  <pivotFields count="12">
    <pivotField numFmtId="164"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4" showAll="0"/>
    <pivotField showAll="0"/>
    <pivotField showAll="0"/>
    <pivotField numFmtId="165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Nivel de Estudo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32115-B66B-B64B-B6A5-9F9F3E59705F}" name="Produ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5:N10" firstHeaderRow="1" firstDataRow="1" firstDataCol="1"/>
  <pivotFields count="12">
    <pivotField numFmtId="164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axis="axisRow" dataField="1" showAll="0">
      <items count="5">
        <item x="3"/>
        <item x="0"/>
        <item x="1"/>
        <item x="2"/>
        <item t="default"/>
      </items>
    </pivotField>
    <pivotField numFmtId="165" showAll="0"/>
    <pivotField showAll="0"/>
    <pivotField showAll="0">
      <items count="5">
        <item x="2"/>
        <item x="1"/>
        <item x="3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Assinatur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20C0E-6E46-EA4D-A303-D004FC4584B3}" name="FaixaEtariaGener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 Faixa etária" colHeaderCaption=" ">
  <location ref="G5:J11" firstHeaderRow="1" firstDataRow="2" firstDataCol="1"/>
  <pivotFields count="12">
    <pivotField numFmtId="164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numFmtId="165" showAll="0"/>
    <pivotField showAll="0"/>
    <pivotField axis="axisRow" dataField="1" showAll="0">
      <items count="5">
        <item x="2"/>
        <item x="1"/>
        <item x="3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 " fld="11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459C0-BAFB-1D42-A436-D86FEE785B11}" name="Region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5:R9" firstHeaderRow="1" firstDataRow="1" firstDataCol="1"/>
  <pivotFields count="12">
    <pivotField numFmtId="164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numFmtId="165" showAll="0"/>
    <pivotField showAll="0"/>
    <pivotField showAll="0">
      <items count="5">
        <item x="2"/>
        <item x="1"/>
        <item x="3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Regiã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50C67-68A0-6343-BD6F-E1724DA32E02}" name="AvaliacaoCliente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U5:V14" firstHeaderRow="1" firstDataRow="1" firstDataCol="1"/>
  <pivotFields count="12">
    <pivotField numFmtId="164" showAll="0"/>
    <pivotField showAll="0"/>
    <pivotField showAll="0">
      <items count="3">
        <item x="0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4" showAll="0"/>
    <pivotField axis="axisRow" dataField="1" showAll="0">
      <items count="9">
        <item x="1"/>
        <item x="2"/>
        <item x="4"/>
        <item x="7"/>
        <item x="5"/>
        <item x="6"/>
        <item x="0"/>
        <item x="3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numFmtId="165" showAll="0"/>
    <pivotField showAll="0"/>
    <pivotField showAll="0">
      <items count="5">
        <item x="2"/>
        <item x="1"/>
        <item x="3"/>
        <item x="0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Avaliação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E5806134-EF28-3D4F-A933-B93BFD2F08B8}" sourceName="Região">
  <pivotTables>
    <pivotTable tabId="8" name="BasesTotais"/>
    <pivotTable tabId="8" name="FaixaEtariaGenero"/>
    <pivotTable tabId="8" name="Produtos"/>
  </pivotTables>
  <data>
    <tabular pivotCacheId="1034715292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ssinatura" xr10:uid="{7DA4FDE1-2E74-3946-AC3D-C437C8119D27}" sourceName="Assinatura">
  <pivotTables>
    <pivotTable tabId="8" name="BasesTotais"/>
    <pivotTable tabId="8" name="AvaliacaoClientes"/>
    <pivotTable tabId="8" name="FaixaEtariaGenero"/>
    <pivotTable tabId="8" name="Receita"/>
    <pivotTable tabId="8" name="Regional"/>
  </pivotTables>
  <data>
    <tabular pivotCacheId="1034715292">
      <items count="4">
        <i x="3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ixa_etária" xr10:uid="{D3B8C270-077F-004E-BA96-38266D8B2F82}" sourceName="Faixa etária">
  <pivotTables>
    <pivotTable tabId="8" name="BasesTotais"/>
    <pivotTable tabId="8" name="AvaliacaoClientes"/>
    <pivotTable tabId="8" name="Produtos"/>
    <pivotTable tabId="8" name="Receita"/>
    <pivotTable tabId="8" name="Regional"/>
  </pivotTables>
  <data>
    <tabular pivotCacheId="1034715292">
      <items count="4">
        <i x="2" s="1"/>
        <i x="1" s="1"/>
        <i x="3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ênero" xr10:uid="{14213397-14BE-404D-B4F8-09C03BE2762E}" sourceName="Gênero">
  <pivotTables>
    <pivotTable tabId="8" name="Produtos"/>
    <pivotTable tabId="8" name="AvaliacaoClientes"/>
    <pivotTable tabId="8" name="Receita"/>
    <pivotTable tabId="8" name="Regional"/>
  </pivotTables>
  <data>
    <tabular pivotCacheId="1034715292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4B46DC97-C390-DA48-A3A5-C82E62DD241B}" cache="SegmentaçãodeDados_Região" caption="Região" style="SlicerStyleDark2 2" rowHeight="230716"/>
  <slicer name="Assinatura" xr10:uid="{C4E4CDCF-0969-FC46-9383-7C91CD5221FB}" cache="SegmentaçãodeDados_Assinatura" caption="Assinatura" style="SlicerStyleDark2 2" rowHeight="230716"/>
  <slicer name="Faixa etária" xr10:uid="{BE8A8D9B-D7A2-7F45-8D16-2BAD28215BE0}" cache="SegmentaçãodeDados_Faixa_etária" caption="Faixa etária" style="SlicerStyleDark2 2" rowHeight="230716"/>
  <slicer name="Gênero" xr10:uid="{57594FFF-CE51-AA4C-AACA-061D43D0EBA5}" cache="SegmentaçãodeDados_Gênero" caption="Gênero" style="SlicerStyleDark2 2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2690C-1F9D-C24E-8638-402349FBEB11}" name="tBase" displayName="tBase" ref="B2:M804" totalsRowShown="0" headerRowDxfId="1" dataDxfId="0">
  <autoFilter ref="B2:M804" xr:uid="{57D2690C-1F9D-C24E-8638-402349FBEB11}"/>
  <sortState xmlns:xlrd2="http://schemas.microsoft.com/office/spreadsheetml/2017/richdata2" ref="B3:M804">
    <sortCondition ref="E2:E804"/>
  </sortState>
  <tableColumns count="12">
    <tableColumn id="1" xr3:uid="{0544A7B8-B5FD-C647-8CF3-3C81BA6C007D}" name="CPF" dataDxfId="13"/>
    <tableColumn id="2" xr3:uid="{0A7F23CC-2FF4-E44E-81B4-5D2B818180E4}" name="Nome" dataDxfId="12"/>
    <tableColumn id="3" xr3:uid="{6C883CE3-8F35-2D41-973B-649B99A4B47B}" name="Gênero" dataDxfId="11"/>
    <tableColumn id="4" xr3:uid="{2B81EDA1-6AE9-BD43-8688-1B2CED519F00}" name="Nivel de Estudos" dataDxfId="10"/>
    <tableColumn id="5" xr3:uid="{0A639619-86F0-ED4F-B07E-FEE9E41E4DCA}" name="Interesse/Hobbie" dataDxfId="9"/>
    <tableColumn id="6" xr3:uid="{AF02CCF7-1ECF-944C-9648-FC03393ACF85}" name="Região" dataDxfId="8"/>
    <tableColumn id="7" xr3:uid="{A740AEB3-00CA-4742-AD88-8674FEA27497}" name="Data Nascimento" dataDxfId="7"/>
    <tableColumn id="8" xr3:uid="{3F47A376-BD21-8049-98A0-CD2276E30BAD}" name="Avaliação" dataDxfId="6"/>
    <tableColumn id="9" xr3:uid="{74DA96CE-D03E-3D48-9526-F542CA146712}" name="Assinatura" dataDxfId="5"/>
    <tableColumn id="10" xr3:uid="{64B115BA-3240-FE45-A202-D830B7A6FA1E}" name="Mesalidades" dataDxfId="4"/>
    <tableColumn id="11" xr3:uid="{C04F0824-652A-DA4F-98B4-3579CA6FB996}" name="Idade" dataDxfId="3">
      <calculatedColumnFormula>TRUNC((TODAY()-tBase[[#This Row],[Data Nascimento]])/365)</calculatedColumnFormula>
    </tableColumn>
    <tableColumn id="12" xr3:uid="{9568F957-371C-8144-88C1-AFF13C588E56}" name="Faixa etária" dataDxfId="2">
      <calculatedColumnFormula>HLOOKUP(tBase[[#This Row],[Idade]],$P$7:$S$8,2,TRUE)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00C709-0C79-1A49-B342-B499491E1BCB}" name="Tabela3" displayName="Tabela3" ref="U18:V26" totalsRowShown="0" headerRowBorderDxfId="26" tableBorderDxfId="25" totalsRowBorderDxfId="24">
  <autoFilter ref="U18:V26" xr:uid="{1100C709-0C79-1A49-B342-B499491E1BCB}"/>
  <sortState xmlns:xlrd2="http://schemas.microsoft.com/office/spreadsheetml/2017/richdata2" ref="U19:V26">
    <sortCondition ref="V18:V26"/>
  </sortState>
  <tableColumns count="2">
    <tableColumn id="1" xr3:uid="{8F458C20-D8C4-9C49-9AEA-E485368159A9}" name="Coluna1" dataDxfId="23"/>
    <tableColumn id="2" xr3:uid="{73EA0A25-C87A-664E-922A-8B96C224D9D3}" name="Coluna2" dataDxfId="22">
      <calculatedColumnFormula>IFERROR(GETPIVOTDATA("Avaliação",U5,"Avaliação",U19),0)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7BC48-961C-0B41-841C-1DEC4182CFBB}" name="Tabela2" displayName="Tabela2" ref="M16:O20" totalsRowShown="0" headerRowDxfId="21" dataDxfId="19" headerRowBorderDxfId="20" tableBorderDxfId="18" totalsRowBorderDxfId="17">
  <autoFilter ref="M16:O20" xr:uid="{4367BC48-961C-0B41-841C-1DEC4182CFBB}"/>
  <sortState xmlns:xlrd2="http://schemas.microsoft.com/office/spreadsheetml/2017/richdata2" ref="M17:O20">
    <sortCondition ref="O16:O20"/>
  </sortState>
  <tableColumns count="3">
    <tableColumn id="1" xr3:uid="{58310E69-23F4-CA43-9CFC-C840B4ADD118}" name="Coluna1" dataDxfId="16"/>
    <tableColumn id="2" xr3:uid="{4CF4ED32-9B19-9745-B047-9385CE2D2184}" name="Coluna2" dataDxfId="15"/>
    <tableColumn id="3" xr3:uid="{101787AF-EB5E-DA47-8D1D-06B809025906}" name="Coluna3" dataDxfId="14" dataCellStyle="Porcentagem">
      <calculatedColumnFormula>N17/$N$21</calculatedColumnFormula>
    </tableColumn>
  </tableColumns>
  <tableStyleInfo name="TableStyleLight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Íon - Sala da Diretoria">
  <a:themeElements>
    <a:clrScheme name="Íon - Sala da Diretoria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Íon - Sala da Diretoria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Íon - Sala da Diretoria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3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7CBE-7228-4EF2-AF4C-F5E7D3363989}">
  <sheetPr>
    <tabColor theme="9"/>
  </sheetPr>
  <dimension ref="B2:S804"/>
  <sheetViews>
    <sheetView workbookViewId="0">
      <selection activeCell="S49" sqref="S49"/>
    </sheetView>
  </sheetViews>
  <sheetFormatPr baseColWidth="10" defaultColWidth="8.83203125" defaultRowHeight="14"/>
  <cols>
    <col min="1" max="1" width="0.5" customWidth="1"/>
    <col min="2" max="2" width="15.5" customWidth="1"/>
    <col min="3" max="3" width="22.5" customWidth="1"/>
    <col min="4" max="4" width="11.1640625" customWidth="1"/>
    <col min="5" max="5" width="16.5" customWidth="1"/>
    <col min="6" max="6" width="13" customWidth="1"/>
    <col min="7" max="7" width="18" customWidth="1"/>
    <col min="8" max="8" width="18.83203125" customWidth="1"/>
    <col min="9" max="9" width="19.6640625" customWidth="1"/>
    <col min="10" max="10" width="13.1640625" customWidth="1"/>
    <col min="11" max="11" width="13" customWidth="1"/>
    <col min="12" max="12" width="10.1640625" customWidth="1"/>
    <col min="13" max="13" width="11.6640625" customWidth="1"/>
    <col min="14" max="14" width="11.83203125" customWidth="1"/>
    <col min="15" max="17" width="10.83203125" customWidth="1"/>
  </cols>
  <sheetData>
    <row r="2" spans="2:19">
      <c r="B2" s="47" t="s">
        <v>0</v>
      </c>
      <c r="C2" s="47" t="s">
        <v>1</v>
      </c>
      <c r="D2" s="47" t="s">
        <v>2</v>
      </c>
      <c r="E2" s="47" t="s">
        <v>3</v>
      </c>
      <c r="F2" s="47" t="s">
        <v>4</v>
      </c>
      <c r="G2" s="47" t="s">
        <v>5</v>
      </c>
      <c r="H2" s="47" t="s">
        <v>6</v>
      </c>
      <c r="I2" s="47" t="s">
        <v>7</v>
      </c>
      <c r="J2" s="47" t="s">
        <v>8</v>
      </c>
      <c r="K2" s="47" t="s">
        <v>9</v>
      </c>
      <c r="L2" s="47" t="s">
        <v>10</v>
      </c>
      <c r="M2" s="47" t="s">
        <v>11</v>
      </c>
    </row>
    <row r="3" spans="2:19">
      <c r="B3" s="48">
        <v>43308815311</v>
      </c>
      <c r="C3" s="49" t="s">
        <v>12</v>
      </c>
      <c r="D3" s="49" t="s">
        <v>13</v>
      </c>
      <c r="E3" s="49" t="s">
        <v>14</v>
      </c>
      <c r="F3" s="49" t="s">
        <v>15</v>
      </c>
      <c r="G3" s="49" t="s">
        <v>16</v>
      </c>
      <c r="H3" s="11">
        <v>22517</v>
      </c>
      <c r="I3" s="11" t="s">
        <v>17</v>
      </c>
      <c r="J3" s="49" t="s">
        <v>18</v>
      </c>
      <c r="K3" s="50">
        <v>9.9</v>
      </c>
      <c r="L3" s="51">
        <f ca="1">TRUNC((TODAY()-tBase[[#This Row],[Data Nascimento]])/365)</f>
        <v>64</v>
      </c>
      <c r="M3" s="49" t="str">
        <f ca="1">HLOOKUP(tBase[[#This Row],[Idade]],$P$7:$S$8,2,TRUE)</f>
        <v>54-70</v>
      </c>
    </row>
    <row r="4" spans="2:19">
      <c r="B4" s="48">
        <v>62050521447</v>
      </c>
      <c r="C4" s="49" t="s">
        <v>12</v>
      </c>
      <c r="D4" s="49" t="s">
        <v>13</v>
      </c>
      <c r="E4" s="49" t="s">
        <v>14</v>
      </c>
      <c r="F4" s="49" t="s">
        <v>15</v>
      </c>
      <c r="G4" s="49" t="s">
        <v>16</v>
      </c>
      <c r="H4" s="11">
        <v>30718</v>
      </c>
      <c r="I4" s="11" t="s">
        <v>19</v>
      </c>
      <c r="J4" s="49" t="s">
        <v>18</v>
      </c>
      <c r="K4" s="50">
        <v>9.9</v>
      </c>
      <c r="L4" s="51">
        <f ca="1">TRUNC((TODAY()-tBase[[#This Row],[Data Nascimento]])/365)</f>
        <v>42</v>
      </c>
      <c r="M4" s="49" t="str">
        <f ca="1">HLOOKUP(tBase[[#This Row],[Idade]],$P$7:$S$8,2,TRUE)</f>
        <v>35 - 44</v>
      </c>
    </row>
    <row r="5" spans="2:19">
      <c r="B5" s="48">
        <v>38732340622</v>
      </c>
      <c r="C5" s="49" t="s">
        <v>20</v>
      </c>
      <c r="D5" s="49" t="s">
        <v>13</v>
      </c>
      <c r="E5" s="49" t="s">
        <v>14</v>
      </c>
      <c r="F5" s="49" t="s">
        <v>15</v>
      </c>
      <c r="G5" s="49" t="s">
        <v>16</v>
      </c>
      <c r="H5" s="11">
        <v>33741</v>
      </c>
      <c r="I5" s="11" t="s">
        <v>21</v>
      </c>
      <c r="J5" s="49" t="s">
        <v>18</v>
      </c>
      <c r="K5" s="50">
        <v>9.9</v>
      </c>
      <c r="L5" s="51">
        <f ca="1">TRUNC((TODAY()-tBase[[#This Row],[Data Nascimento]])/365)</f>
        <v>33</v>
      </c>
      <c r="M5" s="49" t="str">
        <f ca="1">HLOOKUP(tBase[[#This Row],[Idade]],$P$7:$S$8,2,TRUE)</f>
        <v>24-34</v>
      </c>
    </row>
    <row r="6" spans="2:19">
      <c r="B6" s="48">
        <v>75640893297</v>
      </c>
      <c r="C6" s="49" t="s">
        <v>20</v>
      </c>
      <c r="D6" s="49" t="s">
        <v>13</v>
      </c>
      <c r="E6" s="49" t="s">
        <v>14</v>
      </c>
      <c r="F6" s="49" t="s">
        <v>15</v>
      </c>
      <c r="G6" s="49" t="s">
        <v>16</v>
      </c>
      <c r="H6" s="11">
        <v>25154</v>
      </c>
      <c r="I6" s="11" t="s">
        <v>21</v>
      </c>
      <c r="J6" s="49" t="s">
        <v>18</v>
      </c>
      <c r="K6" s="50">
        <v>9.9</v>
      </c>
      <c r="L6" s="51">
        <f ca="1">TRUNC((TODAY()-tBase[[#This Row],[Data Nascimento]])/365)</f>
        <v>57</v>
      </c>
      <c r="M6" s="49" t="str">
        <f ca="1">HLOOKUP(tBase[[#This Row],[Idade]],$P$7:$S$8,2,TRUE)</f>
        <v>54-70</v>
      </c>
      <c r="P6" s="5" t="s">
        <v>22</v>
      </c>
    </row>
    <row r="7" spans="2:19">
      <c r="B7" s="48">
        <v>31519057095</v>
      </c>
      <c r="C7" s="49" t="s">
        <v>23</v>
      </c>
      <c r="D7" s="49" t="s">
        <v>13</v>
      </c>
      <c r="E7" s="49" t="s">
        <v>14</v>
      </c>
      <c r="F7" s="49" t="s">
        <v>15</v>
      </c>
      <c r="G7" s="49" t="s">
        <v>16</v>
      </c>
      <c r="H7" s="11">
        <v>25728</v>
      </c>
      <c r="I7" s="11" t="s">
        <v>24</v>
      </c>
      <c r="J7" s="49" t="s">
        <v>18</v>
      </c>
      <c r="K7" s="50">
        <v>9.9</v>
      </c>
      <c r="L7" s="51">
        <f ca="1">TRUNC((TODAY()-tBase[[#This Row],[Data Nascimento]])/365)</f>
        <v>55</v>
      </c>
      <c r="M7" s="49" t="str">
        <f ca="1">HLOOKUP(tBase[[#This Row],[Idade]],$P$7:$S$8,2,TRUE)</f>
        <v>54-70</v>
      </c>
      <c r="P7" s="8">
        <v>24</v>
      </c>
      <c r="Q7" s="8">
        <v>35</v>
      </c>
      <c r="R7" s="8">
        <v>44</v>
      </c>
      <c r="S7" s="8">
        <v>54</v>
      </c>
    </row>
    <row r="8" spans="2:19">
      <c r="B8" s="48">
        <v>66053578513</v>
      </c>
      <c r="C8" s="49" t="s">
        <v>23</v>
      </c>
      <c r="D8" s="49" t="s">
        <v>13</v>
      </c>
      <c r="E8" s="49" t="s">
        <v>14</v>
      </c>
      <c r="F8" s="49" t="s">
        <v>15</v>
      </c>
      <c r="G8" s="49" t="s">
        <v>16</v>
      </c>
      <c r="H8" s="11">
        <v>34334</v>
      </c>
      <c r="I8" s="11" t="s">
        <v>17</v>
      </c>
      <c r="J8" s="49" t="s">
        <v>18</v>
      </c>
      <c r="K8" s="50">
        <v>9.9</v>
      </c>
      <c r="L8" s="51">
        <f ca="1">TRUNC((TODAY()-tBase[[#This Row],[Data Nascimento]])/365)</f>
        <v>32</v>
      </c>
      <c r="M8" s="49" t="str">
        <f ca="1">HLOOKUP(tBase[[#This Row],[Idade]],$P$7:$S$8,2,TRUE)</f>
        <v>24-34</v>
      </c>
      <c r="P8" s="1" t="s">
        <v>25</v>
      </c>
      <c r="Q8" s="1" t="s">
        <v>26</v>
      </c>
      <c r="R8" s="1" t="s">
        <v>27</v>
      </c>
      <c r="S8" s="2" t="s">
        <v>28</v>
      </c>
    </row>
    <row r="9" spans="2:19">
      <c r="B9" s="48">
        <v>38797538027</v>
      </c>
      <c r="C9" s="49" t="s">
        <v>29</v>
      </c>
      <c r="D9" s="49" t="s">
        <v>13</v>
      </c>
      <c r="E9" s="49" t="s">
        <v>14</v>
      </c>
      <c r="F9" s="49" t="s">
        <v>15</v>
      </c>
      <c r="G9" s="49" t="s">
        <v>16</v>
      </c>
      <c r="H9" s="11">
        <v>22596</v>
      </c>
      <c r="I9" s="11" t="s">
        <v>19</v>
      </c>
      <c r="J9" s="49" t="s">
        <v>18</v>
      </c>
      <c r="K9" s="50">
        <v>9.9</v>
      </c>
      <c r="L9" s="51">
        <f ca="1">TRUNC((TODAY()-tBase[[#This Row],[Data Nascimento]])/365)</f>
        <v>64</v>
      </c>
      <c r="M9" s="49" t="str">
        <f ca="1">HLOOKUP(tBase[[#This Row],[Idade]],$P$7:$S$8,2,TRUE)</f>
        <v>54-70</v>
      </c>
    </row>
    <row r="10" spans="2:19">
      <c r="B10" s="48">
        <v>99052709620</v>
      </c>
      <c r="C10" s="49" t="s">
        <v>29</v>
      </c>
      <c r="D10" s="49" t="s">
        <v>13</v>
      </c>
      <c r="E10" s="49" t="s">
        <v>14</v>
      </c>
      <c r="F10" s="49" t="s">
        <v>15</v>
      </c>
      <c r="G10" s="49" t="s">
        <v>16</v>
      </c>
      <c r="H10" s="11">
        <v>34192</v>
      </c>
      <c r="I10" s="11" t="s">
        <v>19</v>
      </c>
      <c r="J10" s="49" t="s">
        <v>18</v>
      </c>
      <c r="K10" s="50">
        <v>9.9</v>
      </c>
      <c r="L10" s="51">
        <f ca="1">TRUNC((TODAY()-tBase[[#This Row],[Data Nascimento]])/365)</f>
        <v>32</v>
      </c>
      <c r="M10" s="49" t="str">
        <f ca="1">HLOOKUP(tBase[[#This Row],[Idade]],$P$7:$S$8,2,TRUE)</f>
        <v>24-34</v>
      </c>
    </row>
    <row r="11" spans="2:19">
      <c r="B11" s="48">
        <v>56688702646</v>
      </c>
      <c r="C11" s="49" t="s">
        <v>30</v>
      </c>
      <c r="D11" s="49" t="s">
        <v>13</v>
      </c>
      <c r="E11" s="49" t="s">
        <v>14</v>
      </c>
      <c r="F11" s="49" t="s">
        <v>31</v>
      </c>
      <c r="G11" s="49" t="s">
        <v>32</v>
      </c>
      <c r="H11" s="11">
        <v>23383</v>
      </c>
      <c r="I11" s="11" t="s">
        <v>21</v>
      </c>
      <c r="J11" s="49" t="s">
        <v>33</v>
      </c>
      <c r="K11" s="50">
        <v>79.900000000000006</v>
      </c>
      <c r="L11" s="51">
        <f ca="1">TRUNC((TODAY()-tBase[[#This Row],[Data Nascimento]])/365)</f>
        <v>62</v>
      </c>
      <c r="M11" s="49" t="str">
        <f ca="1">HLOOKUP(tBase[[#This Row],[Idade]],$P$7:$S$8,2,TRUE)</f>
        <v>54-70</v>
      </c>
    </row>
    <row r="12" spans="2:19">
      <c r="B12" s="48">
        <v>35423777466</v>
      </c>
      <c r="C12" s="49" t="s">
        <v>34</v>
      </c>
      <c r="D12" s="49" t="s">
        <v>13</v>
      </c>
      <c r="E12" s="49" t="s">
        <v>14</v>
      </c>
      <c r="F12" s="49" t="s">
        <v>15</v>
      </c>
      <c r="G12" s="49" t="s">
        <v>16</v>
      </c>
      <c r="H12" s="11">
        <v>29889</v>
      </c>
      <c r="I12" s="11" t="s">
        <v>17</v>
      </c>
      <c r="J12" s="49" t="s">
        <v>18</v>
      </c>
      <c r="K12" s="50">
        <v>9.9</v>
      </c>
      <c r="L12" s="51">
        <f ca="1">TRUNC((TODAY()-tBase[[#This Row],[Data Nascimento]])/365)</f>
        <v>44</v>
      </c>
      <c r="M12" s="49" t="str">
        <f ca="1">HLOOKUP(tBase[[#This Row],[Idade]],$P$7:$S$8,2,TRUE)</f>
        <v>44 - 54</v>
      </c>
    </row>
    <row r="13" spans="2:19">
      <c r="B13" s="48">
        <v>49561602728</v>
      </c>
      <c r="C13" s="49" t="s">
        <v>34</v>
      </c>
      <c r="D13" s="49" t="s">
        <v>13</v>
      </c>
      <c r="E13" s="49" t="s">
        <v>14</v>
      </c>
      <c r="F13" s="49" t="s">
        <v>15</v>
      </c>
      <c r="G13" s="49" t="s">
        <v>16</v>
      </c>
      <c r="H13" s="11">
        <v>23760</v>
      </c>
      <c r="I13" s="11" t="s">
        <v>19</v>
      </c>
      <c r="J13" s="49" t="s">
        <v>18</v>
      </c>
      <c r="K13" s="50">
        <v>9.9</v>
      </c>
      <c r="L13" s="51">
        <f ca="1">TRUNC((TODAY()-tBase[[#This Row],[Data Nascimento]])/365)</f>
        <v>61</v>
      </c>
      <c r="M13" s="49" t="str">
        <f ca="1">HLOOKUP(tBase[[#This Row],[Idade]],$P$7:$S$8,2,TRUE)</f>
        <v>54-70</v>
      </c>
    </row>
    <row r="14" spans="2:19">
      <c r="B14" s="48">
        <v>36836051756</v>
      </c>
      <c r="C14" s="49" t="s">
        <v>35</v>
      </c>
      <c r="D14" s="49" t="s">
        <v>13</v>
      </c>
      <c r="E14" s="49" t="s">
        <v>14</v>
      </c>
      <c r="F14" s="49" t="s">
        <v>15</v>
      </c>
      <c r="G14" s="49" t="s">
        <v>16</v>
      </c>
      <c r="H14" s="11">
        <v>22557</v>
      </c>
      <c r="I14" s="11" t="s">
        <v>36</v>
      </c>
      <c r="J14" s="49" t="s">
        <v>18</v>
      </c>
      <c r="K14" s="50">
        <v>9.9</v>
      </c>
      <c r="L14" s="51">
        <f ca="1">TRUNC((TODAY()-tBase[[#This Row],[Data Nascimento]])/365)</f>
        <v>64</v>
      </c>
      <c r="M14" s="49" t="str">
        <f ca="1">HLOOKUP(tBase[[#This Row],[Idade]],$P$7:$S$8,2,TRUE)</f>
        <v>54-70</v>
      </c>
    </row>
    <row r="15" spans="2:19">
      <c r="B15" s="48">
        <v>78770918998</v>
      </c>
      <c r="C15" s="49" t="s">
        <v>35</v>
      </c>
      <c r="D15" s="49" t="s">
        <v>13</v>
      </c>
      <c r="E15" s="49" t="s">
        <v>14</v>
      </c>
      <c r="F15" s="49" t="s">
        <v>15</v>
      </c>
      <c r="G15" s="49" t="s">
        <v>16</v>
      </c>
      <c r="H15" s="11">
        <v>32795</v>
      </c>
      <c r="I15" s="11" t="s">
        <v>17</v>
      </c>
      <c r="J15" s="49" t="s">
        <v>18</v>
      </c>
      <c r="K15" s="50">
        <v>9.9</v>
      </c>
      <c r="L15" s="51">
        <f ca="1">TRUNC((TODAY()-tBase[[#This Row],[Data Nascimento]])/365)</f>
        <v>36</v>
      </c>
      <c r="M15" s="49" t="str">
        <f ca="1">HLOOKUP(tBase[[#This Row],[Idade]],$P$7:$S$8,2,TRUE)</f>
        <v>35 - 44</v>
      </c>
    </row>
    <row r="16" spans="2:19">
      <c r="B16" s="48">
        <v>96730763444</v>
      </c>
      <c r="C16" s="49" t="s">
        <v>37</v>
      </c>
      <c r="D16" s="49" t="s">
        <v>13</v>
      </c>
      <c r="E16" s="49" t="s">
        <v>14</v>
      </c>
      <c r="F16" s="49" t="s">
        <v>38</v>
      </c>
      <c r="G16" s="49" t="s">
        <v>32</v>
      </c>
      <c r="H16" s="11">
        <v>27917</v>
      </c>
      <c r="I16" s="11" t="s">
        <v>17</v>
      </c>
      <c r="J16" s="49" t="s">
        <v>18</v>
      </c>
      <c r="K16" s="50">
        <v>9.9</v>
      </c>
      <c r="L16" s="51">
        <f ca="1">TRUNC((TODAY()-tBase[[#This Row],[Data Nascimento]])/365)</f>
        <v>49</v>
      </c>
      <c r="M16" s="49" t="str">
        <f ca="1">HLOOKUP(tBase[[#This Row],[Idade]],$P$7:$S$8,2,TRUE)</f>
        <v>44 - 54</v>
      </c>
    </row>
    <row r="17" spans="2:13">
      <c r="B17" s="48">
        <v>23811464512</v>
      </c>
      <c r="C17" s="49" t="s">
        <v>39</v>
      </c>
      <c r="D17" s="49" t="s">
        <v>13</v>
      </c>
      <c r="E17" s="49" t="s">
        <v>14</v>
      </c>
      <c r="F17" s="49" t="s">
        <v>40</v>
      </c>
      <c r="G17" s="49" t="s">
        <v>16</v>
      </c>
      <c r="H17" s="11">
        <v>29097</v>
      </c>
      <c r="I17" s="11" t="s">
        <v>17</v>
      </c>
      <c r="J17" s="49" t="s">
        <v>41</v>
      </c>
      <c r="K17" s="50">
        <v>29.9</v>
      </c>
      <c r="L17" s="51">
        <f ca="1">TRUNC((TODAY()-tBase[[#This Row],[Data Nascimento]])/365)</f>
        <v>46</v>
      </c>
      <c r="M17" s="49" t="str">
        <f ca="1">HLOOKUP(tBase[[#This Row],[Idade]],$P$7:$S$8,2,TRUE)</f>
        <v>44 - 54</v>
      </c>
    </row>
    <row r="18" spans="2:13">
      <c r="B18" s="48">
        <v>62673271781</v>
      </c>
      <c r="C18" s="49" t="s">
        <v>39</v>
      </c>
      <c r="D18" s="49" t="s">
        <v>13</v>
      </c>
      <c r="E18" s="49" t="s">
        <v>14</v>
      </c>
      <c r="F18" s="49" t="s">
        <v>40</v>
      </c>
      <c r="G18" s="49" t="s">
        <v>16</v>
      </c>
      <c r="H18" s="11">
        <v>33703</v>
      </c>
      <c r="I18" s="11" t="s">
        <v>21</v>
      </c>
      <c r="J18" s="49" t="s">
        <v>41</v>
      </c>
      <c r="K18" s="50">
        <v>29.9</v>
      </c>
      <c r="L18" s="51">
        <f ca="1">TRUNC((TODAY()-tBase[[#This Row],[Data Nascimento]])/365)</f>
        <v>33</v>
      </c>
      <c r="M18" s="49" t="str">
        <f ca="1">HLOOKUP(tBase[[#This Row],[Idade]],$P$7:$S$8,2,TRUE)</f>
        <v>24-34</v>
      </c>
    </row>
    <row r="19" spans="2:13">
      <c r="B19" s="48">
        <v>58546694716</v>
      </c>
      <c r="C19" s="49" t="s">
        <v>42</v>
      </c>
      <c r="D19" s="49" t="s">
        <v>43</v>
      </c>
      <c r="E19" s="49" t="s">
        <v>14</v>
      </c>
      <c r="F19" s="49" t="s">
        <v>38</v>
      </c>
      <c r="G19" s="49" t="s">
        <v>32</v>
      </c>
      <c r="H19" s="11">
        <v>29613</v>
      </c>
      <c r="I19" s="11" t="s">
        <v>17</v>
      </c>
      <c r="J19" s="49" t="s">
        <v>44</v>
      </c>
      <c r="K19" s="50">
        <v>35.9</v>
      </c>
      <c r="L19" s="51">
        <f ca="1">TRUNC((TODAY()-tBase[[#This Row],[Data Nascimento]])/365)</f>
        <v>45</v>
      </c>
      <c r="M19" s="49" t="str">
        <f ca="1">HLOOKUP(tBase[[#This Row],[Idade]],$P$7:$S$8,2,TRUE)</f>
        <v>44 - 54</v>
      </c>
    </row>
    <row r="20" spans="2:13">
      <c r="B20" s="48">
        <v>41107442085</v>
      </c>
      <c r="C20" s="49" t="s">
        <v>45</v>
      </c>
      <c r="D20" s="49" t="s">
        <v>43</v>
      </c>
      <c r="E20" s="49" t="s">
        <v>14</v>
      </c>
      <c r="F20" s="49" t="s">
        <v>15</v>
      </c>
      <c r="G20" s="49" t="s">
        <v>16</v>
      </c>
      <c r="H20" s="11">
        <v>23139</v>
      </c>
      <c r="I20" s="11" t="s">
        <v>46</v>
      </c>
      <c r="J20" s="49" t="s">
        <v>18</v>
      </c>
      <c r="K20" s="50">
        <v>9.9</v>
      </c>
      <c r="L20" s="51">
        <f ca="1">TRUNC((TODAY()-tBase[[#This Row],[Data Nascimento]])/365)</f>
        <v>62</v>
      </c>
      <c r="M20" s="49" t="str">
        <f ca="1">HLOOKUP(tBase[[#This Row],[Idade]],$P$7:$S$8,2,TRUE)</f>
        <v>54-70</v>
      </c>
    </row>
    <row r="21" spans="2:13">
      <c r="B21" s="48">
        <v>65490123014</v>
      </c>
      <c r="C21" s="49" t="s">
        <v>45</v>
      </c>
      <c r="D21" s="49" t="s">
        <v>43</v>
      </c>
      <c r="E21" s="49" t="s">
        <v>14</v>
      </c>
      <c r="F21" s="49" t="s">
        <v>15</v>
      </c>
      <c r="G21" s="49" t="s">
        <v>16</v>
      </c>
      <c r="H21" s="11">
        <v>29810</v>
      </c>
      <c r="I21" s="11" t="s">
        <v>19</v>
      </c>
      <c r="J21" s="49" t="s">
        <v>18</v>
      </c>
      <c r="K21" s="50">
        <v>9.9</v>
      </c>
      <c r="L21" s="51">
        <f ca="1">TRUNC((TODAY()-tBase[[#This Row],[Data Nascimento]])/365)</f>
        <v>44</v>
      </c>
      <c r="M21" s="49" t="str">
        <f ca="1">HLOOKUP(tBase[[#This Row],[Idade]],$P$7:$S$8,2,TRUE)</f>
        <v>44 - 54</v>
      </c>
    </row>
    <row r="22" spans="2:13">
      <c r="B22" s="48">
        <v>72103743000</v>
      </c>
      <c r="C22" s="49" t="s">
        <v>47</v>
      </c>
      <c r="D22" s="49" t="s">
        <v>43</v>
      </c>
      <c r="E22" s="49" t="s">
        <v>14</v>
      </c>
      <c r="F22" s="49" t="s">
        <v>38</v>
      </c>
      <c r="G22" s="49" t="s">
        <v>16</v>
      </c>
      <c r="H22" s="11">
        <v>28236</v>
      </c>
      <c r="I22" s="11" t="s">
        <v>19</v>
      </c>
      <c r="J22" s="49" t="s">
        <v>44</v>
      </c>
      <c r="K22" s="50">
        <v>35.9</v>
      </c>
      <c r="L22" s="51">
        <f ca="1">TRUNC((TODAY()-tBase[[#This Row],[Data Nascimento]])/365)</f>
        <v>48</v>
      </c>
      <c r="M22" s="49" t="str">
        <f ca="1">HLOOKUP(tBase[[#This Row],[Idade]],$P$7:$S$8,2,TRUE)</f>
        <v>44 - 54</v>
      </c>
    </row>
    <row r="23" spans="2:13">
      <c r="B23" s="48">
        <v>56167280623</v>
      </c>
      <c r="C23" s="49" t="s">
        <v>48</v>
      </c>
      <c r="D23" s="49" t="s">
        <v>43</v>
      </c>
      <c r="E23" s="49" t="s">
        <v>14</v>
      </c>
      <c r="F23" s="49" t="s">
        <v>15</v>
      </c>
      <c r="G23" s="49" t="s">
        <v>32</v>
      </c>
      <c r="H23" s="11">
        <v>34079</v>
      </c>
      <c r="I23" s="11" t="s">
        <v>17</v>
      </c>
      <c r="J23" s="49" t="s">
        <v>44</v>
      </c>
      <c r="K23" s="50">
        <v>35.9</v>
      </c>
      <c r="L23" s="51">
        <f ca="1">TRUNC((TODAY()-tBase[[#This Row],[Data Nascimento]])/365)</f>
        <v>32</v>
      </c>
      <c r="M23" s="49" t="str">
        <f ca="1">HLOOKUP(tBase[[#This Row],[Idade]],$P$7:$S$8,2,TRUE)</f>
        <v>24-34</v>
      </c>
    </row>
    <row r="24" spans="2:13">
      <c r="B24" s="48">
        <v>72653571309</v>
      </c>
      <c r="C24" s="49" t="s">
        <v>49</v>
      </c>
      <c r="D24" s="49" t="s">
        <v>43</v>
      </c>
      <c r="E24" s="49" t="s">
        <v>14</v>
      </c>
      <c r="F24" s="49" t="s">
        <v>38</v>
      </c>
      <c r="G24" s="49" t="s">
        <v>32</v>
      </c>
      <c r="H24" s="11">
        <v>22002</v>
      </c>
      <c r="I24" s="11" t="s">
        <v>19</v>
      </c>
      <c r="J24" s="49" t="s">
        <v>44</v>
      </c>
      <c r="K24" s="50">
        <v>35.9</v>
      </c>
      <c r="L24" s="51">
        <f ca="1">TRUNC((TODAY()-tBase[[#This Row],[Data Nascimento]])/365)</f>
        <v>66</v>
      </c>
      <c r="M24" s="49" t="str">
        <f ca="1">HLOOKUP(tBase[[#This Row],[Idade]],$P$7:$S$8,2,TRUE)</f>
        <v>54-70</v>
      </c>
    </row>
    <row r="25" spans="2:13">
      <c r="B25" s="48">
        <v>24787984175</v>
      </c>
      <c r="C25" s="49" t="s">
        <v>50</v>
      </c>
      <c r="D25" s="49" t="s">
        <v>43</v>
      </c>
      <c r="E25" s="49" t="s">
        <v>14</v>
      </c>
      <c r="F25" s="49" t="s">
        <v>40</v>
      </c>
      <c r="G25" s="49" t="s">
        <v>16</v>
      </c>
      <c r="H25" s="11">
        <v>34867</v>
      </c>
      <c r="I25" s="11" t="s">
        <v>46</v>
      </c>
      <c r="J25" s="49" t="s">
        <v>41</v>
      </c>
      <c r="K25" s="50">
        <v>29.9</v>
      </c>
      <c r="L25" s="51">
        <f ca="1">TRUNC((TODAY()-tBase[[#This Row],[Data Nascimento]])/365)</f>
        <v>30</v>
      </c>
      <c r="M25" s="49" t="str">
        <f ca="1">HLOOKUP(tBase[[#This Row],[Idade]],$P$7:$S$8,2,TRUE)</f>
        <v>24-34</v>
      </c>
    </row>
    <row r="26" spans="2:13">
      <c r="B26" s="48">
        <v>34970941895</v>
      </c>
      <c r="C26" s="49" t="s">
        <v>50</v>
      </c>
      <c r="D26" s="49" t="s">
        <v>43</v>
      </c>
      <c r="E26" s="49" t="s">
        <v>14</v>
      </c>
      <c r="F26" s="49" t="s">
        <v>40</v>
      </c>
      <c r="G26" s="49" t="s">
        <v>16</v>
      </c>
      <c r="H26" s="11">
        <v>25721</v>
      </c>
      <c r="I26" s="11" t="s">
        <v>21</v>
      </c>
      <c r="J26" s="49" t="s">
        <v>41</v>
      </c>
      <c r="K26" s="50">
        <v>29.9</v>
      </c>
      <c r="L26" s="51">
        <f ca="1">TRUNC((TODAY()-tBase[[#This Row],[Data Nascimento]])/365)</f>
        <v>55</v>
      </c>
      <c r="M26" s="49" t="str">
        <f ca="1">HLOOKUP(tBase[[#This Row],[Idade]],$P$7:$S$8,2,TRUE)</f>
        <v>54-70</v>
      </c>
    </row>
    <row r="27" spans="2:13">
      <c r="B27" s="48">
        <v>55899436458</v>
      </c>
      <c r="C27" s="49" t="s">
        <v>51</v>
      </c>
      <c r="D27" s="49" t="s">
        <v>43</v>
      </c>
      <c r="E27" s="49" t="s">
        <v>14</v>
      </c>
      <c r="F27" s="49" t="s">
        <v>15</v>
      </c>
      <c r="G27" s="49" t="s">
        <v>52</v>
      </c>
      <c r="H27" s="11">
        <v>24409</v>
      </c>
      <c r="I27" s="11" t="s">
        <v>17</v>
      </c>
      <c r="J27" s="49" t="s">
        <v>33</v>
      </c>
      <c r="K27" s="50">
        <v>79.900000000000006</v>
      </c>
      <c r="L27" s="51">
        <f ca="1">TRUNC((TODAY()-tBase[[#This Row],[Data Nascimento]])/365)</f>
        <v>59</v>
      </c>
      <c r="M27" s="49" t="str">
        <f ca="1">HLOOKUP(tBase[[#This Row],[Idade]],$P$7:$S$8,2,TRUE)</f>
        <v>54-70</v>
      </c>
    </row>
    <row r="28" spans="2:13">
      <c r="B28" s="48">
        <v>47174082747</v>
      </c>
      <c r="C28" s="49" t="s">
        <v>53</v>
      </c>
      <c r="D28" s="49" t="s">
        <v>43</v>
      </c>
      <c r="E28" s="49" t="s">
        <v>14</v>
      </c>
      <c r="F28" s="49" t="s">
        <v>40</v>
      </c>
      <c r="G28" s="49" t="s">
        <v>16</v>
      </c>
      <c r="H28" s="11">
        <v>33910</v>
      </c>
      <c r="I28" s="11" t="s">
        <v>17</v>
      </c>
      <c r="J28" s="49" t="s">
        <v>41</v>
      </c>
      <c r="K28" s="50">
        <v>29.9</v>
      </c>
      <c r="L28" s="51">
        <f ca="1">TRUNC((TODAY()-tBase[[#This Row],[Data Nascimento]])/365)</f>
        <v>33</v>
      </c>
      <c r="M28" s="49" t="str">
        <f ca="1">HLOOKUP(tBase[[#This Row],[Idade]],$P$7:$S$8,2,TRUE)</f>
        <v>24-34</v>
      </c>
    </row>
    <row r="29" spans="2:13">
      <c r="B29" s="48">
        <v>74394995473</v>
      </c>
      <c r="C29" s="49" t="s">
        <v>53</v>
      </c>
      <c r="D29" s="49" t="s">
        <v>43</v>
      </c>
      <c r="E29" s="49" t="s">
        <v>14</v>
      </c>
      <c r="F29" s="49" t="s">
        <v>40</v>
      </c>
      <c r="G29" s="49" t="s">
        <v>16</v>
      </c>
      <c r="H29" s="11">
        <v>30751</v>
      </c>
      <c r="I29" s="11" t="s">
        <v>54</v>
      </c>
      <c r="J29" s="49" t="s">
        <v>41</v>
      </c>
      <c r="K29" s="50">
        <v>29.9</v>
      </c>
      <c r="L29" s="51">
        <f ca="1">TRUNC((TODAY()-tBase[[#This Row],[Data Nascimento]])/365)</f>
        <v>42</v>
      </c>
      <c r="M29" s="49" t="str">
        <f ca="1">HLOOKUP(tBase[[#This Row],[Idade]],$P$7:$S$8,2,TRUE)</f>
        <v>35 - 44</v>
      </c>
    </row>
    <row r="30" spans="2:13">
      <c r="B30" s="48">
        <v>34275755986</v>
      </c>
      <c r="C30" s="49" t="s">
        <v>55</v>
      </c>
      <c r="D30" s="49" t="s">
        <v>13</v>
      </c>
      <c r="E30" s="49" t="s">
        <v>56</v>
      </c>
      <c r="F30" s="49" t="s">
        <v>38</v>
      </c>
      <c r="G30" s="49" t="s">
        <v>16</v>
      </c>
      <c r="H30" s="11">
        <v>28273</v>
      </c>
      <c r="I30" s="11" t="s">
        <v>17</v>
      </c>
      <c r="J30" s="49" t="s">
        <v>44</v>
      </c>
      <c r="K30" s="50">
        <v>35.9</v>
      </c>
      <c r="L30" s="51">
        <f ca="1">TRUNC((TODAY()-tBase[[#This Row],[Data Nascimento]])/365)</f>
        <v>48</v>
      </c>
      <c r="M30" s="49" t="str">
        <f ca="1">HLOOKUP(tBase[[#This Row],[Idade]],$P$7:$S$8,2,TRUE)</f>
        <v>44 - 54</v>
      </c>
    </row>
    <row r="31" spans="2:13">
      <c r="B31" s="48">
        <v>99005827580</v>
      </c>
      <c r="C31" s="49" t="s">
        <v>55</v>
      </c>
      <c r="D31" s="49" t="s">
        <v>13</v>
      </c>
      <c r="E31" s="49" t="s">
        <v>56</v>
      </c>
      <c r="F31" s="49" t="s">
        <v>38</v>
      </c>
      <c r="G31" s="49" t="s">
        <v>16</v>
      </c>
      <c r="H31" s="11">
        <v>25870</v>
      </c>
      <c r="I31" s="11" t="s">
        <v>19</v>
      </c>
      <c r="J31" s="49" t="s">
        <v>44</v>
      </c>
      <c r="K31" s="50">
        <v>35.9</v>
      </c>
      <c r="L31" s="51">
        <f ca="1">TRUNC((TODAY()-tBase[[#This Row],[Data Nascimento]])/365)</f>
        <v>55</v>
      </c>
      <c r="M31" s="49" t="str">
        <f ca="1">HLOOKUP(tBase[[#This Row],[Idade]],$P$7:$S$8,2,TRUE)</f>
        <v>54-70</v>
      </c>
    </row>
    <row r="32" spans="2:13">
      <c r="B32" s="48">
        <v>41968341445</v>
      </c>
      <c r="C32" s="49" t="s">
        <v>57</v>
      </c>
      <c r="D32" s="49" t="s">
        <v>13</v>
      </c>
      <c r="E32" s="49" t="s">
        <v>56</v>
      </c>
      <c r="F32" s="49" t="s">
        <v>15</v>
      </c>
      <c r="G32" s="49" t="s">
        <v>16</v>
      </c>
      <c r="H32" s="11">
        <v>24660</v>
      </c>
      <c r="I32" s="11" t="s">
        <v>19</v>
      </c>
      <c r="J32" s="49" t="s">
        <v>44</v>
      </c>
      <c r="K32" s="50">
        <v>35.9</v>
      </c>
      <c r="L32" s="51">
        <f ca="1">TRUNC((TODAY()-tBase[[#This Row],[Data Nascimento]])/365)</f>
        <v>58</v>
      </c>
      <c r="M32" s="49" t="str">
        <f ca="1">HLOOKUP(tBase[[#This Row],[Idade]],$P$7:$S$8,2,TRUE)</f>
        <v>54-70</v>
      </c>
    </row>
    <row r="33" spans="2:13">
      <c r="B33" s="48">
        <v>69009325528</v>
      </c>
      <c r="C33" s="49" t="s">
        <v>57</v>
      </c>
      <c r="D33" s="49" t="s">
        <v>13</v>
      </c>
      <c r="E33" s="49" t="s">
        <v>56</v>
      </c>
      <c r="F33" s="49" t="s">
        <v>15</v>
      </c>
      <c r="G33" s="49" t="s">
        <v>16</v>
      </c>
      <c r="H33" s="11">
        <v>30470</v>
      </c>
      <c r="I33" s="11" t="s">
        <v>21</v>
      </c>
      <c r="J33" s="49" t="s">
        <v>44</v>
      </c>
      <c r="K33" s="50">
        <v>35.9</v>
      </c>
      <c r="L33" s="51">
        <f ca="1">TRUNC((TODAY()-tBase[[#This Row],[Data Nascimento]])/365)</f>
        <v>42</v>
      </c>
      <c r="M33" s="49" t="str">
        <f ca="1">HLOOKUP(tBase[[#This Row],[Idade]],$P$7:$S$8,2,TRUE)</f>
        <v>35 - 44</v>
      </c>
    </row>
    <row r="34" spans="2:13">
      <c r="B34" s="48">
        <v>34327422259</v>
      </c>
      <c r="C34" s="49" t="s">
        <v>58</v>
      </c>
      <c r="D34" s="49" t="s">
        <v>13</v>
      </c>
      <c r="E34" s="49" t="s">
        <v>56</v>
      </c>
      <c r="F34" s="49" t="s">
        <v>59</v>
      </c>
      <c r="G34" s="49" t="s">
        <v>16</v>
      </c>
      <c r="H34" s="11">
        <v>30247</v>
      </c>
      <c r="I34" s="11" t="s">
        <v>21</v>
      </c>
      <c r="J34" s="49" t="s">
        <v>18</v>
      </c>
      <c r="K34" s="50">
        <v>9.9</v>
      </c>
      <c r="L34" s="51">
        <f ca="1">TRUNC((TODAY()-tBase[[#This Row],[Data Nascimento]])/365)</f>
        <v>43</v>
      </c>
      <c r="M34" s="49" t="str">
        <f ca="1">HLOOKUP(tBase[[#This Row],[Idade]],$P$7:$S$8,2,TRUE)</f>
        <v>35 - 44</v>
      </c>
    </row>
    <row r="35" spans="2:13">
      <c r="B35" s="48">
        <v>85486291852</v>
      </c>
      <c r="C35" s="49" t="s">
        <v>58</v>
      </c>
      <c r="D35" s="49" t="s">
        <v>13</v>
      </c>
      <c r="E35" s="49" t="s">
        <v>56</v>
      </c>
      <c r="F35" s="49" t="s">
        <v>59</v>
      </c>
      <c r="G35" s="49" t="s">
        <v>16</v>
      </c>
      <c r="H35" s="11">
        <v>27488</v>
      </c>
      <c r="I35" s="11" t="s">
        <v>19</v>
      </c>
      <c r="J35" s="49" t="s">
        <v>18</v>
      </c>
      <c r="K35" s="50">
        <v>9.9</v>
      </c>
      <c r="L35" s="51">
        <f ca="1">TRUNC((TODAY()-tBase[[#This Row],[Data Nascimento]])/365)</f>
        <v>51</v>
      </c>
      <c r="M35" s="49" t="str">
        <f ca="1">HLOOKUP(tBase[[#This Row],[Idade]],$P$7:$S$8,2,TRUE)</f>
        <v>44 - 54</v>
      </c>
    </row>
    <row r="36" spans="2:13">
      <c r="B36" s="48">
        <v>50376304529</v>
      </c>
      <c r="C36" s="49" t="s">
        <v>60</v>
      </c>
      <c r="D36" s="49" t="s">
        <v>13</v>
      </c>
      <c r="E36" s="49" t="s">
        <v>56</v>
      </c>
      <c r="F36" s="49" t="s">
        <v>15</v>
      </c>
      <c r="G36" s="49" t="s">
        <v>32</v>
      </c>
      <c r="H36" s="11">
        <v>20158</v>
      </c>
      <c r="I36" s="11" t="s">
        <v>46</v>
      </c>
      <c r="J36" s="49" t="s">
        <v>18</v>
      </c>
      <c r="K36" s="50">
        <v>9.9</v>
      </c>
      <c r="L36" s="51">
        <f ca="1">TRUNC((TODAY()-tBase[[#This Row],[Data Nascimento]])/365)</f>
        <v>71</v>
      </c>
      <c r="M36" s="49" t="str">
        <f ca="1">HLOOKUP(tBase[[#This Row],[Idade]],$P$7:$S$8,2,TRUE)</f>
        <v>54-70</v>
      </c>
    </row>
    <row r="37" spans="2:13">
      <c r="B37" s="48">
        <v>96498559182</v>
      </c>
      <c r="C37" s="49" t="s">
        <v>60</v>
      </c>
      <c r="D37" s="49" t="s">
        <v>13</v>
      </c>
      <c r="E37" s="49" t="s">
        <v>56</v>
      </c>
      <c r="F37" s="49" t="s">
        <v>15</v>
      </c>
      <c r="G37" s="49" t="s">
        <v>32</v>
      </c>
      <c r="H37" s="11">
        <v>31923</v>
      </c>
      <c r="I37" s="11" t="s">
        <v>19</v>
      </c>
      <c r="J37" s="49" t="s">
        <v>18</v>
      </c>
      <c r="K37" s="50">
        <v>9.9</v>
      </c>
      <c r="L37" s="51">
        <f ca="1">TRUNC((TODAY()-tBase[[#This Row],[Data Nascimento]])/365)</f>
        <v>38</v>
      </c>
      <c r="M37" s="49" t="str">
        <f ca="1">HLOOKUP(tBase[[#This Row],[Idade]],$P$7:$S$8,2,TRUE)</f>
        <v>35 - 44</v>
      </c>
    </row>
    <row r="38" spans="2:13">
      <c r="B38" s="48">
        <v>28200818797</v>
      </c>
      <c r="C38" s="49" t="s">
        <v>61</v>
      </c>
      <c r="D38" s="49" t="s">
        <v>13</v>
      </c>
      <c r="E38" s="49" t="s">
        <v>56</v>
      </c>
      <c r="F38" s="49" t="s">
        <v>62</v>
      </c>
      <c r="G38" s="49" t="s">
        <v>52</v>
      </c>
      <c r="H38" s="11">
        <v>28922</v>
      </c>
      <c r="I38" s="11" t="s">
        <v>19</v>
      </c>
      <c r="J38" s="49" t="s">
        <v>41</v>
      </c>
      <c r="K38" s="50">
        <v>29.9</v>
      </c>
      <c r="L38" s="51">
        <f ca="1">TRUNC((TODAY()-tBase[[#This Row],[Data Nascimento]])/365)</f>
        <v>47</v>
      </c>
      <c r="M38" s="49" t="str">
        <f ca="1">HLOOKUP(tBase[[#This Row],[Idade]],$P$7:$S$8,2,TRUE)</f>
        <v>44 - 54</v>
      </c>
    </row>
    <row r="39" spans="2:13">
      <c r="B39" s="48">
        <v>78732548500</v>
      </c>
      <c r="C39" s="49" t="s">
        <v>61</v>
      </c>
      <c r="D39" s="49" t="s">
        <v>13</v>
      </c>
      <c r="E39" s="49" t="s">
        <v>56</v>
      </c>
      <c r="F39" s="49" t="s">
        <v>62</v>
      </c>
      <c r="G39" s="49" t="s">
        <v>52</v>
      </c>
      <c r="H39" s="11">
        <v>33449</v>
      </c>
      <c r="I39" s="11" t="s">
        <v>46</v>
      </c>
      <c r="J39" s="49" t="s">
        <v>41</v>
      </c>
      <c r="K39" s="50">
        <v>29.9</v>
      </c>
      <c r="L39" s="51">
        <f ca="1">TRUNC((TODAY()-tBase[[#This Row],[Data Nascimento]])/365)</f>
        <v>34</v>
      </c>
      <c r="M39" s="49" t="str">
        <f ca="1">HLOOKUP(tBase[[#This Row],[Idade]],$P$7:$S$8,2,TRUE)</f>
        <v>24-34</v>
      </c>
    </row>
    <row r="40" spans="2:13">
      <c r="B40" s="48">
        <v>36398957082</v>
      </c>
      <c r="C40" s="49" t="s">
        <v>63</v>
      </c>
      <c r="D40" s="49" t="s">
        <v>13</v>
      </c>
      <c r="E40" s="49" t="s">
        <v>56</v>
      </c>
      <c r="F40" s="49" t="s">
        <v>15</v>
      </c>
      <c r="G40" s="49" t="s">
        <v>32</v>
      </c>
      <c r="H40" s="11">
        <v>29348</v>
      </c>
      <c r="I40" s="11" t="s">
        <v>17</v>
      </c>
      <c r="J40" s="49" t="s">
        <v>18</v>
      </c>
      <c r="K40" s="50">
        <v>9.9</v>
      </c>
      <c r="L40" s="51">
        <f ca="1">TRUNC((TODAY()-tBase[[#This Row],[Data Nascimento]])/365)</f>
        <v>45</v>
      </c>
      <c r="M40" s="49" t="str">
        <f ca="1">HLOOKUP(tBase[[#This Row],[Idade]],$P$7:$S$8,2,TRUE)</f>
        <v>44 - 54</v>
      </c>
    </row>
    <row r="41" spans="2:13">
      <c r="B41" s="48">
        <v>22319593464</v>
      </c>
      <c r="C41" s="49" t="s">
        <v>64</v>
      </c>
      <c r="D41" s="49" t="s">
        <v>13</v>
      </c>
      <c r="E41" s="49" t="s">
        <v>56</v>
      </c>
      <c r="F41" s="49" t="s">
        <v>38</v>
      </c>
      <c r="G41" s="49" t="s">
        <v>32</v>
      </c>
      <c r="H41" s="11">
        <v>22802</v>
      </c>
      <c r="I41" s="11" t="s">
        <v>17</v>
      </c>
      <c r="J41" s="49" t="s">
        <v>44</v>
      </c>
      <c r="K41" s="50">
        <v>35.9</v>
      </c>
      <c r="L41" s="51">
        <f ca="1">TRUNC((TODAY()-tBase[[#This Row],[Data Nascimento]])/365)</f>
        <v>63</v>
      </c>
      <c r="M41" s="49" t="str">
        <f ca="1">HLOOKUP(tBase[[#This Row],[Idade]],$P$7:$S$8,2,TRUE)</f>
        <v>54-70</v>
      </c>
    </row>
    <row r="42" spans="2:13">
      <c r="B42" s="48">
        <v>96207993803</v>
      </c>
      <c r="C42" s="49" t="s">
        <v>64</v>
      </c>
      <c r="D42" s="49" t="s">
        <v>13</v>
      </c>
      <c r="E42" s="49" t="s">
        <v>56</v>
      </c>
      <c r="F42" s="49" t="s">
        <v>38</v>
      </c>
      <c r="G42" s="49" t="s">
        <v>16</v>
      </c>
      <c r="H42" s="11">
        <v>31971</v>
      </c>
      <c r="I42" s="11" t="s">
        <v>21</v>
      </c>
      <c r="J42" s="49" t="s">
        <v>44</v>
      </c>
      <c r="K42" s="50">
        <v>35.9</v>
      </c>
      <c r="L42" s="51">
        <f ca="1">TRUNC((TODAY()-tBase[[#This Row],[Data Nascimento]])/365)</f>
        <v>38</v>
      </c>
      <c r="M42" s="49" t="str">
        <f ca="1">HLOOKUP(tBase[[#This Row],[Idade]],$P$7:$S$8,2,TRUE)</f>
        <v>35 - 44</v>
      </c>
    </row>
    <row r="43" spans="2:13">
      <c r="B43" s="48">
        <v>38262075932</v>
      </c>
      <c r="C43" s="49" t="s">
        <v>65</v>
      </c>
      <c r="D43" s="49" t="s">
        <v>13</v>
      </c>
      <c r="E43" s="49" t="s">
        <v>56</v>
      </c>
      <c r="F43" s="49" t="s">
        <v>62</v>
      </c>
      <c r="G43" s="49" t="s">
        <v>52</v>
      </c>
      <c r="H43" s="11">
        <v>27231</v>
      </c>
      <c r="I43" s="11" t="s">
        <v>17</v>
      </c>
      <c r="J43" s="49" t="s">
        <v>18</v>
      </c>
      <c r="K43" s="50">
        <v>9.9</v>
      </c>
      <c r="L43" s="51">
        <f ca="1">TRUNC((TODAY()-tBase[[#This Row],[Data Nascimento]])/365)</f>
        <v>51</v>
      </c>
      <c r="M43" s="49" t="str">
        <f ca="1">HLOOKUP(tBase[[#This Row],[Idade]],$P$7:$S$8,2,TRUE)</f>
        <v>44 - 54</v>
      </c>
    </row>
    <row r="44" spans="2:13">
      <c r="B44" s="48">
        <v>57093446389</v>
      </c>
      <c r="C44" s="49" t="s">
        <v>65</v>
      </c>
      <c r="D44" s="49" t="s">
        <v>13</v>
      </c>
      <c r="E44" s="49" t="s">
        <v>56</v>
      </c>
      <c r="F44" s="49" t="s">
        <v>62</v>
      </c>
      <c r="G44" s="49" t="s">
        <v>52</v>
      </c>
      <c r="H44" s="11">
        <v>29291</v>
      </c>
      <c r="I44" s="11" t="s">
        <v>54</v>
      </c>
      <c r="J44" s="49" t="s">
        <v>18</v>
      </c>
      <c r="K44" s="50">
        <v>9.9</v>
      </c>
      <c r="L44" s="51">
        <f ca="1">TRUNC((TODAY()-tBase[[#This Row],[Data Nascimento]])/365)</f>
        <v>46</v>
      </c>
      <c r="M44" s="49" t="str">
        <f ca="1">HLOOKUP(tBase[[#This Row],[Idade]],$P$7:$S$8,2,TRUE)</f>
        <v>44 - 54</v>
      </c>
    </row>
    <row r="45" spans="2:13">
      <c r="B45" s="48">
        <v>46800162766</v>
      </c>
      <c r="C45" s="49" t="s">
        <v>66</v>
      </c>
      <c r="D45" s="49" t="s">
        <v>13</v>
      </c>
      <c r="E45" s="49" t="s">
        <v>56</v>
      </c>
      <c r="F45" s="49" t="s">
        <v>40</v>
      </c>
      <c r="G45" s="49" t="s">
        <v>16</v>
      </c>
      <c r="H45" s="11">
        <v>29708</v>
      </c>
      <c r="I45" s="11" t="s">
        <v>21</v>
      </c>
      <c r="J45" s="49" t="s">
        <v>41</v>
      </c>
      <c r="K45" s="50">
        <v>29.9</v>
      </c>
      <c r="L45" s="51">
        <f ca="1">TRUNC((TODAY()-tBase[[#This Row],[Data Nascimento]])/365)</f>
        <v>44</v>
      </c>
      <c r="M45" s="49" t="str">
        <f ca="1">HLOOKUP(tBase[[#This Row],[Idade]],$P$7:$S$8,2,TRUE)</f>
        <v>44 - 54</v>
      </c>
    </row>
    <row r="46" spans="2:13">
      <c r="B46" s="48">
        <v>93087822464</v>
      </c>
      <c r="C46" s="49" t="s">
        <v>66</v>
      </c>
      <c r="D46" s="49" t="s">
        <v>13</v>
      </c>
      <c r="E46" s="49" t="s">
        <v>56</v>
      </c>
      <c r="F46" s="49" t="s">
        <v>40</v>
      </c>
      <c r="G46" s="49" t="s">
        <v>16</v>
      </c>
      <c r="H46" s="11">
        <v>29740</v>
      </c>
      <c r="I46" s="11" t="s">
        <v>19</v>
      </c>
      <c r="J46" s="49" t="s">
        <v>41</v>
      </c>
      <c r="K46" s="50">
        <v>29.9</v>
      </c>
      <c r="L46" s="51">
        <f ca="1">TRUNC((TODAY()-tBase[[#This Row],[Data Nascimento]])/365)</f>
        <v>44</v>
      </c>
      <c r="M46" s="49" t="str">
        <f ca="1">HLOOKUP(tBase[[#This Row],[Idade]],$P$7:$S$8,2,TRUE)</f>
        <v>44 - 54</v>
      </c>
    </row>
    <row r="47" spans="2:13">
      <c r="B47" s="48">
        <v>44517150220</v>
      </c>
      <c r="C47" s="49" t="s">
        <v>67</v>
      </c>
      <c r="D47" s="49" t="s">
        <v>13</v>
      </c>
      <c r="E47" s="49" t="s">
        <v>56</v>
      </c>
      <c r="F47" s="49" t="s">
        <v>15</v>
      </c>
      <c r="G47" s="49" t="s">
        <v>32</v>
      </c>
      <c r="H47" s="11">
        <v>32994</v>
      </c>
      <c r="I47" s="11" t="s">
        <v>54</v>
      </c>
      <c r="J47" s="49" t="s">
        <v>33</v>
      </c>
      <c r="K47" s="50">
        <v>79.900000000000006</v>
      </c>
      <c r="L47" s="51">
        <f ca="1">TRUNC((TODAY()-tBase[[#This Row],[Data Nascimento]])/365)</f>
        <v>35</v>
      </c>
      <c r="M47" s="49" t="str">
        <f ca="1">HLOOKUP(tBase[[#This Row],[Idade]],$P$7:$S$8,2,TRUE)</f>
        <v>35 - 44</v>
      </c>
    </row>
    <row r="48" spans="2:13">
      <c r="B48" s="48">
        <v>50356441737</v>
      </c>
      <c r="C48" s="49" t="s">
        <v>67</v>
      </c>
      <c r="D48" s="49" t="s">
        <v>13</v>
      </c>
      <c r="E48" s="49" t="s">
        <v>56</v>
      </c>
      <c r="F48" s="49" t="s">
        <v>15</v>
      </c>
      <c r="G48" s="49" t="s">
        <v>32</v>
      </c>
      <c r="H48" s="11">
        <v>36510</v>
      </c>
      <c r="I48" s="11" t="s">
        <v>21</v>
      </c>
      <c r="J48" s="49" t="s">
        <v>33</v>
      </c>
      <c r="K48" s="50">
        <v>79.900000000000006</v>
      </c>
      <c r="L48" s="51">
        <f ca="1">TRUNC((TODAY()-tBase[[#This Row],[Data Nascimento]])/365)</f>
        <v>26</v>
      </c>
      <c r="M48" s="49" t="str">
        <f ca="1">HLOOKUP(tBase[[#This Row],[Idade]],$P$7:$S$8,2,TRUE)</f>
        <v>24-34</v>
      </c>
    </row>
    <row r="49" spans="2:13">
      <c r="B49" s="48">
        <v>43865627349</v>
      </c>
      <c r="C49" s="49" t="s">
        <v>68</v>
      </c>
      <c r="D49" s="49" t="s">
        <v>13</v>
      </c>
      <c r="E49" s="49" t="s">
        <v>56</v>
      </c>
      <c r="F49" s="49" t="s">
        <v>15</v>
      </c>
      <c r="G49" s="49" t="s">
        <v>32</v>
      </c>
      <c r="H49" s="11">
        <v>29875</v>
      </c>
      <c r="I49" s="11" t="s">
        <v>17</v>
      </c>
      <c r="J49" s="49" t="s">
        <v>18</v>
      </c>
      <c r="K49" s="50">
        <v>9.9</v>
      </c>
      <c r="L49" s="51">
        <f ca="1">TRUNC((TODAY()-tBase[[#This Row],[Data Nascimento]])/365)</f>
        <v>44</v>
      </c>
      <c r="M49" s="49" t="str">
        <f ca="1">HLOOKUP(tBase[[#This Row],[Idade]],$P$7:$S$8,2,TRUE)</f>
        <v>44 - 54</v>
      </c>
    </row>
    <row r="50" spans="2:13">
      <c r="B50" s="48">
        <v>59016888278</v>
      </c>
      <c r="C50" s="49" t="s">
        <v>68</v>
      </c>
      <c r="D50" s="49" t="s">
        <v>13</v>
      </c>
      <c r="E50" s="49" t="s">
        <v>56</v>
      </c>
      <c r="F50" s="49" t="s">
        <v>15</v>
      </c>
      <c r="G50" s="49" t="s">
        <v>32</v>
      </c>
      <c r="H50" s="11">
        <v>31126</v>
      </c>
      <c r="I50" s="11" t="s">
        <v>19</v>
      </c>
      <c r="J50" s="49" t="s">
        <v>18</v>
      </c>
      <c r="K50" s="50">
        <v>9.9</v>
      </c>
      <c r="L50" s="51">
        <f ca="1">TRUNC((TODAY()-tBase[[#This Row],[Data Nascimento]])/365)</f>
        <v>41</v>
      </c>
      <c r="M50" s="49" t="str">
        <f ca="1">HLOOKUP(tBase[[#This Row],[Idade]],$P$7:$S$8,2,TRUE)</f>
        <v>35 - 44</v>
      </c>
    </row>
    <row r="51" spans="2:13">
      <c r="B51" s="48">
        <v>43809437545</v>
      </c>
      <c r="C51" s="49" t="s">
        <v>69</v>
      </c>
      <c r="D51" s="49" t="s">
        <v>13</v>
      </c>
      <c r="E51" s="49" t="s">
        <v>56</v>
      </c>
      <c r="F51" s="49" t="s">
        <v>38</v>
      </c>
      <c r="G51" s="49" t="s">
        <v>16</v>
      </c>
      <c r="H51" s="11">
        <v>26747</v>
      </c>
      <c r="I51" s="11" t="s">
        <v>19</v>
      </c>
      <c r="J51" s="49" t="s">
        <v>44</v>
      </c>
      <c r="K51" s="50">
        <v>35.9</v>
      </c>
      <c r="L51" s="51">
        <f ca="1">TRUNC((TODAY()-tBase[[#This Row],[Data Nascimento]])/365)</f>
        <v>53</v>
      </c>
      <c r="M51" s="49" t="str">
        <f ca="1">HLOOKUP(tBase[[#This Row],[Idade]],$P$7:$S$8,2,TRUE)</f>
        <v>44 - 54</v>
      </c>
    </row>
    <row r="52" spans="2:13">
      <c r="B52" s="48">
        <v>73629904035</v>
      </c>
      <c r="C52" s="49" t="s">
        <v>69</v>
      </c>
      <c r="D52" s="49" t="s">
        <v>13</v>
      </c>
      <c r="E52" s="49" t="s">
        <v>56</v>
      </c>
      <c r="F52" s="49" t="s">
        <v>38</v>
      </c>
      <c r="G52" s="49" t="s">
        <v>16</v>
      </c>
      <c r="H52" s="11">
        <v>30490</v>
      </c>
      <c r="I52" s="11" t="s">
        <v>17</v>
      </c>
      <c r="J52" s="49" t="s">
        <v>44</v>
      </c>
      <c r="K52" s="50">
        <v>35.9</v>
      </c>
      <c r="L52" s="51">
        <f ca="1">TRUNC((TODAY()-tBase[[#This Row],[Data Nascimento]])/365)</f>
        <v>42</v>
      </c>
      <c r="M52" s="49" t="str">
        <f ca="1">HLOOKUP(tBase[[#This Row],[Idade]],$P$7:$S$8,2,TRUE)</f>
        <v>35 - 44</v>
      </c>
    </row>
    <row r="53" spans="2:13">
      <c r="B53" s="48">
        <v>42981421778</v>
      </c>
      <c r="C53" s="49" t="s">
        <v>70</v>
      </c>
      <c r="D53" s="49" t="s">
        <v>13</v>
      </c>
      <c r="E53" s="49" t="s">
        <v>56</v>
      </c>
      <c r="F53" s="49" t="s">
        <v>40</v>
      </c>
      <c r="G53" s="49" t="s">
        <v>32</v>
      </c>
      <c r="H53" s="11">
        <v>32563</v>
      </c>
      <c r="I53" s="11" t="s">
        <v>17</v>
      </c>
      <c r="J53" s="49" t="s">
        <v>41</v>
      </c>
      <c r="K53" s="50">
        <v>29.9</v>
      </c>
      <c r="L53" s="51">
        <f ca="1">TRUNC((TODAY()-tBase[[#This Row],[Data Nascimento]])/365)</f>
        <v>37</v>
      </c>
      <c r="M53" s="49" t="str">
        <f ca="1">HLOOKUP(tBase[[#This Row],[Idade]],$P$7:$S$8,2,TRUE)</f>
        <v>35 - 44</v>
      </c>
    </row>
    <row r="54" spans="2:13">
      <c r="B54" s="48">
        <v>81525212234</v>
      </c>
      <c r="C54" s="49" t="s">
        <v>70</v>
      </c>
      <c r="D54" s="49" t="s">
        <v>13</v>
      </c>
      <c r="E54" s="49" t="s">
        <v>56</v>
      </c>
      <c r="F54" s="49" t="s">
        <v>40</v>
      </c>
      <c r="G54" s="49" t="s">
        <v>32</v>
      </c>
      <c r="H54" s="11">
        <v>31311</v>
      </c>
      <c r="I54" s="11" t="s">
        <v>17</v>
      </c>
      <c r="J54" s="49" t="s">
        <v>41</v>
      </c>
      <c r="K54" s="50">
        <v>29.9</v>
      </c>
      <c r="L54" s="51">
        <f ca="1">TRUNC((TODAY()-tBase[[#This Row],[Data Nascimento]])/365)</f>
        <v>40</v>
      </c>
      <c r="M54" s="49" t="str">
        <f ca="1">HLOOKUP(tBase[[#This Row],[Idade]],$P$7:$S$8,2,TRUE)</f>
        <v>35 - 44</v>
      </c>
    </row>
    <row r="55" spans="2:13">
      <c r="B55" s="48">
        <v>23305930384</v>
      </c>
      <c r="C55" s="49" t="s">
        <v>71</v>
      </c>
      <c r="D55" s="49" t="s">
        <v>13</v>
      </c>
      <c r="E55" s="49" t="s">
        <v>56</v>
      </c>
      <c r="F55" s="49" t="s">
        <v>15</v>
      </c>
      <c r="G55" s="49" t="s">
        <v>32</v>
      </c>
      <c r="H55" s="11">
        <v>21884</v>
      </c>
      <c r="I55" s="11" t="s">
        <v>72</v>
      </c>
      <c r="J55" s="49" t="s">
        <v>33</v>
      </c>
      <c r="K55" s="50">
        <v>79.900000000000006</v>
      </c>
      <c r="L55" s="51">
        <f ca="1">TRUNC((TODAY()-tBase[[#This Row],[Data Nascimento]])/365)</f>
        <v>66</v>
      </c>
      <c r="M55" s="49" t="str">
        <f ca="1">HLOOKUP(tBase[[#This Row],[Idade]],$P$7:$S$8,2,TRUE)</f>
        <v>54-70</v>
      </c>
    </row>
    <row r="56" spans="2:13">
      <c r="B56" s="48">
        <v>68759209105</v>
      </c>
      <c r="C56" s="49" t="s">
        <v>71</v>
      </c>
      <c r="D56" s="49" t="s">
        <v>13</v>
      </c>
      <c r="E56" s="49" t="s">
        <v>56</v>
      </c>
      <c r="F56" s="49" t="s">
        <v>15</v>
      </c>
      <c r="G56" s="49" t="s">
        <v>32</v>
      </c>
      <c r="H56" s="11">
        <v>32608</v>
      </c>
      <c r="I56" s="11" t="s">
        <v>46</v>
      </c>
      <c r="J56" s="49" t="s">
        <v>33</v>
      </c>
      <c r="K56" s="50">
        <v>79.900000000000006</v>
      </c>
      <c r="L56" s="51">
        <f ca="1">TRUNC((TODAY()-tBase[[#This Row],[Data Nascimento]])/365)</f>
        <v>36</v>
      </c>
      <c r="M56" s="49" t="str">
        <f ca="1">HLOOKUP(tBase[[#This Row],[Idade]],$P$7:$S$8,2,TRUE)</f>
        <v>35 - 44</v>
      </c>
    </row>
    <row r="57" spans="2:13">
      <c r="B57" s="48">
        <v>23495363597</v>
      </c>
      <c r="C57" s="49" t="s">
        <v>73</v>
      </c>
      <c r="D57" s="49" t="s">
        <v>13</v>
      </c>
      <c r="E57" s="49" t="s">
        <v>56</v>
      </c>
      <c r="F57" s="49" t="s">
        <v>62</v>
      </c>
      <c r="G57" s="49" t="s">
        <v>16</v>
      </c>
      <c r="H57" s="11">
        <v>26610</v>
      </c>
      <c r="I57" s="11" t="s">
        <v>19</v>
      </c>
      <c r="J57" s="49" t="s">
        <v>18</v>
      </c>
      <c r="K57" s="50">
        <v>9.9</v>
      </c>
      <c r="L57" s="51">
        <f ca="1">TRUNC((TODAY()-tBase[[#This Row],[Data Nascimento]])/365)</f>
        <v>53</v>
      </c>
      <c r="M57" s="49" t="str">
        <f ca="1">HLOOKUP(tBase[[#This Row],[Idade]],$P$7:$S$8,2,TRUE)</f>
        <v>44 - 54</v>
      </c>
    </row>
    <row r="58" spans="2:13">
      <c r="B58" s="48">
        <v>49514272789</v>
      </c>
      <c r="C58" s="49" t="s">
        <v>73</v>
      </c>
      <c r="D58" s="49" t="s">
        <v>13</v>
      </c>
      <c r="E58" s="49" t="s">
        <v>56</v>
      </c>
      <c r="F58" s="49" t="s">
        <v>62</v>
      </c>
      <c r="G58" s="49" t="s">
        <v>16</v>
      </c>
      <c r="H58" s="11">
        <v>27626</v>
      </c>
      <c r="I58" s="11" t="s">
        <v>19</v>
      </c>
      <c r="J58" s="49" t="s">
        <v>18</v>
      </c>
      <c r="K58" s="50">
        <v>9.9</v>
      </c>
      <c r="L58" s="51">
        <f ca="1">TRUNC((TODAY()-tBase[[#This Row],[Data Nascimento]])/365)</f>
        <v>50</v>
      </c>
      <c r="M58" s="49" t="str">
        <f ca="1">HLOOKUP(tBase[[#This Row],[Idade]],$P$7:$S$8,2,TRUE)</f>
        <v>44 - 54</v>
      </c>
    </row>
    <row r="59" spans="2:13">
      <c r="B59" s="48">
        <v>39816227977</v>
      </c>
      <c r="C59" s="49" t="s">
        <v>74</v>
      </c>
      <c r="D59" s="49" t="s">
        <v>13</v>
      </c>
      <c r="E59" s="49" t="s">
        <v>56</v>
      </c>
      <c r="F59" s="49" t="s">
        <v>38</v>
      </c>
      <c r="G59" s="49" t="s">
        <v>16</v>
      </c>
      <c r="H59" s="11">
        <v>27162</v>
      </c>
      <c r="I59" s="11" t="s">
        <v>46</v>
      </c>
      <c r="J59" s="49" t="s">
        <v>44</v>
      </c>
      <c r="K59" s="50">
        <v>35.9</v>
      </c>
      <c r="L59" s="51">
        <f ca="1">TRUNC((TODAY()-tBase[[#This Row],[Data Nascimento]])/365)</f>
        <v>51</v>
      </c>
      <c r="M59" s="49" t="str">
        <f ca="1">HLOOKUP(tBase[[#This Row],[Idade]],$P$7:$S$8,2,TRUE)</f>
        <v>44 - 54</v>
      </c>
    </row>
    <row r="60" spans="2:13">
      <c r="B60" s="48">
        <v>96142770610</v>
      </c>
      <c r="C60" s="49" t="s">
        <v>74</v>
      </c>
      <c r="D60" s="49" t="s">
        <v>13</v>
      </c>
      <c r="E60" s="49" t="s">
        <v>56</v>
      </c>
      <c r="F60" s="49" t="s">
        <v>38</v>
      </c>
      <c r="G60" s="49" t="s">
        <v>16</v>
      </c>
      <c r="H60" s="11">
        <v>24217</v>
      </c>
      <c r="I60" s="11" t="s">
        <v>46</v>
      </c>
      <c r="J60" s="49" t="s">
        <v>44</v>
      </c>
      <c r="K60" s="50">
        <v>35.9</v>
      </c>
      <c r="L60" s="51">
        <f ca="1">TRUNC((TODAY()-tBase[[#This Row],[Data Nascimento]])/365)</f>
        <v>59</v>
      </c>
      <c r="M60" s="49" t="str">
        <f ca="1">HLOOKUP(tBase[[#This Row],[Idade]],$P$7:$S$8,2,TRUE)</f>
        <v>54-70</v>
      </c>
    </row>
    <row r="61" spans="2:13">
      <c r="B61" s="48">
        <v>35105004714</v>
      </c>
      <c r="C61" s="49" t="s">
        <v>75</v>
      </c>
      <c r="D61" s="49" t="s">
        <v>13</v>
      </c>
      <c r="E61" s="49" t="s">
        <v>56</v>
      </c>
      <c r="F61" s="49" t="s">
        <v>38</v>
      </c>
      <c r="G61" s="49" t="s">
        <v>52</v>
      </c>
      <c r="H61" s="11">
        <v>33256</v>
      </c>
      <c r="I61" s="11" t="s">
        <v>19</v>
      </c>
      <c r="J61" s="49" t="s">
        <v>41</v>
      </c>
      <c r="K61" s="50">
        <v>29.9</v>
      </c>
      <c r="L61" s="51">
        <f ca="1">TRUNC((TODAY()-tBase[[#This Row],[Data Nascimento]])/365)</f>
        <v>35</v>
      </c>
      <c r="M61" s="49" t="str">
        <f ca="1">HLOOKUP(tBase[[#This Row],[Idade]],$P$7:$S$8,2,TRUE)</f>
        <v>35 - 44</v>
      </c>
    </row>
    <row r="62" spans="2:13">
      <c r="B62" s="48">
        <v>49017327941</v>
      </c>
      <c r="C62" s="49" t="s">
        <v>75</v>
      </c>
      <c r="D62" s="49" t="s">
        <v>13</v>
      </c>
      <c r="E62" s="49" t="s">
        <v>56</v>
      </c>
      <c r="F62" s="49" t="s">
        <v>38</v>
      </c>
      <c r="G62" s="49" t="s">
        <v>52</v>
      </c>
      <c r="H62" s="11">
        <v>26953</v>
      </c>
      <c r="I62" s="11" t="s">
        <v>17</v>
      </c>
      <c r="J62" s="49" t="s">
        <v>41</v>
      </c>
      <c r="K62" s="50">
        <v>29.9</v>
      </c>
      <c r="L62" s="51">
        <f ca="1">TRUNC((TODAY()-tBase[[#This Row],[Data Nascimento]])/365)</f>
        <v>52</v>
      </c>
      <c r="M62" s="49" t="str">
        <f ca="1">HLOOKUP(tBase[[#This Row],[Idade]],$P$7:$S$8,2,TRUE)</f>
        <v>44 - 54</v>
      </c>
    </row>
    <row r="63" spans="2:13">
      <c r="B63" s="48">
        <v>29806175798</v>
      </c>
      <c r="C63" s="49" t="s">
        <v>76</v>
      </c>
      <c r="D63" s="49" t="s">
        <v>13</v>
      </c>
      <c r="E63" s="49" t="s">
        <v>56</v>
      </c>
      <c r="F63" s="49" t="s">
        <v>15</v>
      </c>
      <c r="G63" s="49" t="s">
        <v>16</v>
      </c>
      <c r="H63" s="11">
        <v>27096</v>
      </c>
      <c r="I63" s="11" t="s">
        <v>17</v>
      </c>
      <c r="J63" s="49" t="s">
        <v>33</v>
      </c>
      <c r="K63" s="50">
        <v>79.900000000000006</v>
      </c>
      <c r="L63" s="51">
        <f ca="1">TRUNC((TODAY()-tBase[[#This Row],[Data Nascimento]])/365)</f>
        <v>52</v>
      </c>
      <c r="M63" s="49" t="str">
        <f ca="1">HLOOKUP(tBase[[#This Row],[Idade]],$P$7:$S$8,2,TRUE)</f>
        <v>44 - 54</v>
      </c>
    </row>
    <row r="64" spans="2:13">
      <c r="B64" s="48">
        <v>97867342326</v>
      </c>
      <c r="C64" s="49" t="s">
        <v>76</v>
      </c>
      <c r="D64" s="49" t="s">
        <v>13</v>
      </c>
      <c r="E64" s="49" t="s">
        <v>56</v>
      </c>
      <c r="F64" s="49" t="s">
        <v>15</v>
      </c>
      <c r="G64" s="49" t="s">
        <v>16</v>
      </c>
      <c r="H64" s="11">
        <v>32872</v>
      </c>
      <c r="I64" s="11" t="s">
        <v>17</v>
      </c>
      <c r="J64" s="49" t="s">
        <v>33</v>
      </c>
      <c r="K64" s="50">
        <v>79.900000000000006</v>
      </c>
      <c r="L64" s="51">
        <f ca="1">TRUNC((TODAY()-tBase[[#This Row],[Data Nascimento]])/365)</f>
        <v>36</v>
      </c>
      <c r="M64" s="49" t="str">
        <f ca="1">HLOOKUP(tBase[[#This Row],[Idade]],$P$7:$S$8,2,TRUE)</f>
        <v>35 - 44</v>
      </c>
    </row>
    <row r="65" spans="2:13">
      <c r="B65" s="48">
        <v>52272478127</v>
      </c>
      <c r="C65" s="49" t="s">
        <v>77</v>
      </c>
      <c r="D65" s="49" t="s">
        <v>13</v>
      </c>
      <c r="E65" s="49" t="s">
        <v>56</v>
      </c>
      <c r="F65" s="49" t="s">
        <v>38</v>
      </c>
      <c r="G65" s="49" t="s">
        <v>32</v>
      </c>
      <c r="H65" s="11">
        <v>32417</v>
      </c>
      <c r="I65" s="11" t="s">
        <v>21</v>
      </c>
      <c r="J65" s="49" t="s">
        <v>41</v>
      </c>
      <c r="K65" s="50">
        <v>29.9</v>
      </c>
      <c r="L65" s="51">
        <f ca="1">TRUNC((TODAY()-tBase[[#This Row],[Data Nascimento]])/365)</f>
        <v>37</v>
      </c>
      <c r="M65" s="49" t="str">
        <f ca="1">HLOOKUP(tBase[[#This Row],[Idade]],$P$7:$S$8,2,TRUE)</f>
        <v>35 - 44</v>
      </c>
    </row>
    <row r="66" spans="2:13">
      <c r="B66" s="48">
        <v>64406878055</v>
      </c>
      <c r="C66" s="49" t="s">
        <v>77</v>
      </c>
      <c r="D66" s="49" t="s">
        <v>13</v>
      </c>
      <c r="E66" s="49" t="s">
        <v>56</v>
      </c>
      <c r="F66" s="49" t="s">
        <v>38</v>
      </c>
      <c r="G66" s="49" t="s">
        <v>32</v>
      </c>
      <c r="H66" s="11">
        <v>30454</v>
      </c>
      <c r="I66" s="11" t="s">
        <v>17</v>
      </c>
      <c r="J66" s="49" t="s">
        <v>41</v>
      </c>
      <c r="K66" s="50">
        <v>29.9</v>
      </c>
      <c r="L66" s="51">
        <f ca="1">TRUNC((TODAY()-tBase[[#This Row],[Data Nascimento]])/365)</f>
        <v>42</v>
      </c>
      <c r="M66" s="49" t="str">
        <f ca="1">HLOOKUP(tBase[[#This Row],[Idade]],$P$7:$S$8,2,TRUE)</f>
        <v>35 - 44</v>
      </c>
    </row>
    <row r="67" spans="2:13">
      <c r="B67" s="48">
        <v>35465159917</v>
      </c>
      <c r="C67" s="49" t="s">
        <v>78</v>
      </c>
      <c r="D67" s="49" t="s">
        <v>13</v>
      </c>
      <c r="E67" s="49" t="s">
        <v>56</v>
      </c>
      <c r="F67" s="49" t="s">
        <v>38</v>
      </c>
      <c r="G67" s="49" t="s">
        <v>16</v>
      </c>
      <c r="H67" s="11">
        <v>31916</v>
      </c>
      <c r="I67" s="11" t="s">
        <v>17</v>
      </c>
      <c r="J67" s="49" t="s">
        <v>18</v>
      </c>
      <c r="K67" s="50">
        <v>9.9</v>
      </c>
      <c r="L67" s="51">
        <f ca="1">TRUNC((TODAY()-tBase[[#This Row],[Data Nascimento]])/365)</f>
        <v>38</v>
      </c>
      <c r="M67" s="49" t="str">
        <f ca="1">HLOOKUP(tBase[[#This Row],[Idade]],$P$7:$S$8,2,TRUE)</f>
        <v>35 - 44</v>
      </c>
    </row>
    <row r="68" spans="2:13">
      <c r="B68" s="48">
        <v>82616416182</v>
      </c>
      <c r="C68" s="49" t="s">
        <v>78</v>
      </c>
      <c r="D68" s="49" t="s">
        <v>13</v>
      </c>
      <c r="E68" s="49" t="s">
        <v>56</v>
      </c>
      <c r="F68" s="49" t="s">
        <v>38</v>
      </c>
      <c r="G68" s="49" t="s">
        <v>16</v>
      </c>
      <c r="H68" s="11">
        <v>23127</v>
      </c>
      <c r="I68" s="11" t="s">
        <v>19</v>
      </c>
      <c r="J68" s="49" t="s">
        <v>18</v>
      </c>
      <c r="K68" s="50">
        <v>9.9</v>
      </c>
      <c r="L68" s="51">
        <f ca="1">TRUNC((TODAY()-tBase[[#This Row],[Data Nascimento]])/365)</f>
        <v>62</v>
      </c>
      <c r="M68" s="49" t="str">
        <f ca="1">HLOOKUP(tBase[[#This Row],[Idade]],$P$7:$S$8,2,TRUE)</f>
        <v>54-70</v>
      </c>
    </row>
    <row r="69" spans="2:13">
      <c r="B69" s="48">
        <v>54217073384</v>
      </c>
      <c r="C69" s="49" t="s">
        <v>79</v>
      </c>
      <c r="D69" s="49" t="s">
        <v>13</v>
      </c>
      <c r="E69" s="49" t="s">
        <v>56</v>
      </c>
      <c r="F69" s="49" t="s">
        <v>40</v>
      </c>
      <c r="G69" s="49" t="s">
        <v>32</v>
      </c>
      <c r="H69" s="11">
        <v>24976</v>
      </c>
      <c r="I69" s="11" t="s">
        <v>46</v>
      </c>
      <c r="J69" s="49" t="s">
        <v>41</v>
      </c>
      <c r="K69" s="50">
        <v>29.9</v>
      </c>
      <c r="L69" s="51">
        <f ca="1">TRUNC((TODAY()-tBase[[#This Row],[Data Nascimento]])/365)</f>
        <v>57</v>
      </c>
      <c r="M69" s="49" t="str">
        <f ca="1">HLOOKUP(tBase[[#This Row],[Idade]],$P$7:$S$8,2,TRUE)</f>
        <v>54-70</v>
      </c>
    </row>
    <row r="70" spans="2:13">
      <c r="B70" s="48">
        <v>78801671422</v>
      </c>
      <c r="C70" s="49" t="s">
        <v>79</v>
      </c>
      <c r="D70" s="49" t="s">
        <v>13</v>
      </c>
      <c r="E70" s="49" t="s">
        <v>56</v>
      </c>
      <c r="F70" s="49" t="s">
        <v>40</v>
      </c>
      <c r="G70" s="49" t="s">
        <v>32</v>
      </c>
      <c r="H70" s="11">
        <v>30804</v>
      </c>
      <c r="I70" s="11" t="s">
        <v>17</v>
      </c>
      <c r="J70" s="49" t="s">
        <v>41</v>
      </c>
      <c r="K70" s="50">
        <v>29.9</v>
      </c>
      <c r="L70" s="51">
        <f ca="1">TRUNC((TODAY()-tBase[[#This Row],[Data Nascimento]])/365)</f>
        <v>41</v>
      </c>
      <c r="M70" s="49" t="str">
        <f ca="1">HLOOKUP(tBase[[#This Row],[Idade]],$P$7:$S$8,2,TRUE)</f>
        <v>35 - 44</v>
      </c>
    </row>
    <row r="71" spans="2:13">
      <c r="B71" s="48">
        <v>53085921994</v>
      </c>
      <c r="C71" s="49" t="s">
        <v>80</v>
      </c>
      <c r="D71" s="49" t="s">
        <v>13</v>
      </c>
      <c r="E71" s="49" t="s">
        <v>56</v>
      </c>
      <c r="F71" s="49" t="s">
        <v>31</v>
      </c>
      <c r="G71" s="49" t="s">
        <v>32</v>
      </c>
      <c r="H71" s="11">
        <v>33889</v>
      </c>
      <c r="I71" s="11" t="s">
        <v>24</v>
      </c>
      <c r="J71" s="49" t="s">
        <v>33</v>
      </c>
      <c r="K71" s="50">
        <v>79.900000000000006</v>
      </c>
      <c r="L71" s="51">
        <f ca="1">TRUNC((TODAY()-tBase[[#This Row],[Data Nascimento]])/365)</f>
        <v>33</v>
      </c>
      <c r="M71" s="49" t="str">
        <f ca="1">HLOOKUP(tBase[[#This Row],[Idade]],$P$7:$S$8,2,TRUE)</f>
        <v>24-34</v>
      </c>
    </row>
    <row r="72" spans="2:13">
      <c r="B72" s="48">
        <v>53226935462</v>
      </c>
      <c r="C72" s="49" t="s">
        <v>80</v>
      </c>
      <c r="D72" s="49" t="s">
        <v>13</v>
      </c>
      <c r="E72" s="49" t="s">
        <v>56</v>
      </c>
      <c r="F72" s="49" t="s">
        <v>31</v>
      </c>
      <c r="G72" s="49" t="s">
        <v>32</v>
      </c>
      <c r="H72" s="11">
        <v>22653</v>
      </c>
      <c r="I72" s="11" t="s">
        <v>19</v>
      </c>
      <c r="J72" s="49" t="s">
        <v>33</v>
      </c>
      <c r="K72" s="50">
        <v>79.900000000000006</v>
      </c>
      <c r="L72" s="51">
        <f ca="1">TRUNC((TODAY()-tBase[[#This Row],[Data Nascimento]])/365)</f>
        <v>64</v>
      </c>
      <c r="M72" s="49" t="str">
        <f ca="1">HLOOKUP(tBase[[#This Row],[Idade]],$P$7:$S$8,2,TRUE)</f>
        <v>54-70</v>
      </c>
    </row>
    <row r="73" spans="2:13">
      <c r="B73" s="48">
        <v>33812311392</v>
      </c>
      <c r="C73" s="49" t="s">
        <v>81</v>
      </c>
      <c r="D73" s="49" t="s">
        <v>13</v>
      </c>
      <c r="E73" s="49" t="s">
        <v>56</v>
      </c>
      <c r="F73" s="49" t="s">
        <v>31</v>
      </c>
      <c r="G73" s="49" t="s">
        <v>16</v>
      </c>
      <c r="H73" s="11">
        <v>28641</v>
      </c>
      <c r="I73" s="11" t="s">
        <v>72</v>
      </c>
      <c r="J73" s="49" t="s">
        <v>33</v>
      </c>
      <c r="K73" s="50">
        <v>79.900000000000006</v>
      </c>
      <c r="L73" s="51">
        <f ca="1">TRUNC((TODAY()-tBase[[#This Row],[Data Nascimento]])/365)</f>
        <v>47</v>
      </c>
      <c r="M73" s="49" t="str">
        <f ca="1">HLOOKUP(tBase[[#This Row],[Idade]],$P$7:$S$8,2,TRUE)</f>
        <v>44 - 54</v>
      </c>
    </row>
    <row r="74" spans="2:13">
      <c r="B74" s="48">
        <v>81829540486</v>
      </c>
      <c r="C74" s="49" t="s">
        <v>81</v>
      </c>
      <c r="D74" s="49" t="s">
        <v>13</v>
      </c>
      <c r="E74" s="49" t="s">
        <v>56</v>
      </c>
      <c r="F74" s="49" t="s">
        <v>31</v>
      </c>
      <c r="G74" s="49" t="s">
        <v>16</v>
      </c>
      <c r="H74" s="11">
        <v>33640</v>
      </c>
      <c r="I74" s="11" t="s">
        <v>17</v>
      </c>
      <c r="J74" s="49" t="s">
        <v>33</v>
      </c>
      <c r="K74" s="50">
        <v>79.900000000000006</v>
      </c>
      <c r="L74" s="51">
        <f ca="1">TRUNC((TODAY()-tBase[[#This Row],[Data Nascimento]])/365)</f>
        <v>34</v>
      </c>
      <c r="M74" s="49" t="str">
        <f ca="1">HLOOKUP(tBase[[#This Row],[Idade]],$P$7:$S$8,2,TRUE)</f>
        <v>24-34</v>
      </c>
    </row>
    <row r="75" spans="2:13">
      <c r="B75" s="48">
        <v>25690893853</v>
      </c>
      <c r="C75" s="49" t="s">
        <v>82</v>
      </c>
      <c r="D75" s="49" t="s">
        <v>13</v>
      </c>
      <c r="E75" s="49" t="s">
        <v>56</v>
      </c>
      <c r="F75" s="49" t="s">
        <v>62</v>
      </c>
      <c r="G75" s="49" t="s">
        <v>16</v>
      </c>
      <c r="H75" s="11">
        <v>22758</v>
      </c>
      <c r="I75" s="11" t="s">
        <v>17</v>
      </c>
      <c r="J75" s="49" t="s">
        <v>18</v>
      </c>
      <c r="K75" s="50">
        <v>9.9</v>
      </c>
      <c r="L75" s="51">
        <f ca="1">TRUNC((TODAY()-tBase[[#This Row],[Data Nascimento]])/365)</f>
        <v>63</v>
      </c>
      <c r="M75" s="49" t="str">
        <f ca="1">HLOOKUP(tBase[[#This Row],[Idade]],$P$7:$S$8,2,TRUE)</f>
        <v>54-70</v>
      </c>
    </row>
    <row r="76" spans="2:13">
      <c r="B76" s="48">
        <v>36796717410</v>
      </c>
      <c r="C76" s="49" t="s">
        <v>82</v>
      </c>
      <c r="D76" s="49" t="s">
        <v>13</v>
      </c>
      <c r="E76" s="49" t="s">
        <v>56</v>
      </c>
      <c r="F76" s="49" t="s">
        <v>62</v>
      </c>
      <c r="G76" s="49" t="s">
        <v>16</v>
      </c>
      <c r="H76" s="11">
        <v>31218</v>
      </c>
      <c r="I76" s="11" t="s">
        <v>54</v>
      </c>
      <c r="J76" s="49" t="s">
        <v>18</v>
      </c>
      <c r="K76" s="50">
        <v>9.9</v>
      </c>
      <c r="L76" s="51">
        <f ca="1">TRUNC((TODAY()-tBase[[#This Row],[Data Nascimento]])/365)</f>
        <v>40</v>
      </c>
      <c r="M76" s="49" t="str">
        <f ca="1">HLOOKUP(tBase[[#This Row],[Idade]],$P$7:$S$8,2,TRUE)</f>
        <v>35 - 44</v>
      </c>
    </row>
    <row r="77" spans="2:13">
      <c r="B77" s="48">
        <v>48647651375</v>
      </c>
      <c r="C77" s="49" t="s">
        <v>83</v>
      </c>
      <c r="D77" s="49" t="s">
        <v>13</v>
      </c>
      <c r="E77" s="49" t="s">
        <v>56</v>
      </c>
      <c r="F77" s="49" t="s">
        <v>15</v>
      </c>
      <c r="G77" s="49" t="s">
        <v>16</v>
      </c>
      <c r="H77" s="11">
        <v>22072</v>
      </c>
      <c r="I77" s="11" t="s">
        <v>21</v>
      </c>
      <c r="J77" s="49" t="s">
        <v>18</v>
      </c>
      <c r="K77" s="50">
        <v>9.9</v>
      </c>
      <c r="L77" s="51">
        <f ca="1">TRUNC((TODAY()-tBase[[#This Row],[Data Nascimento]])/365)</f>
        <v>65</v>
      </c>
      <c r="M77" s="49" t="str">
        <f ca="1">HLOOKUP(tBase[[#This Row],[Idade]],$P$7:$S$8,2,TRUE)</f>
        <v>54-70</v>
      </c>
    </row>
    <row r="78" spans="2:13">
      <c r="B78" s="48">
        <v>60024137404</v>
      </c>
      <c r="C78" s="49" t="s">
        <v>83</v>
      </c>
      <c r="D78" s="49" t="s">
        <v>13</v>
      </c>
      <c r="E78" s="49" t="s">
        <v>56</v>
      </c>
      <c r="F78" s="49" t="s">
        <v>15</v>
      </c>
      <c r="G78" s="49" t="s">
        <v>16</v>
      </c>
      <c r="H78" s="11">
        <v>25915</v>
      </c>
      <c r="I78" s="11" t="s">
        <v>17</v>
      </c>
      <c r="J78" s="49" t="s">
        <v>18</v>
      </c>
      <c r="K78" s="50">
        <v>9.9</v>
      </c>
      <c r="L78" s="51">
        <f ca="1">TRUNC((TODAY()-tBase[[#This Row],[Data Nascimento]])/365)</f>
        <v>55</v>
      </c>
      <c r="M78" s="49" t="str">
        <f ca="1">HLOOKUP(tBase[[#This Row],[Idade]],$P$7:$S$8,2,TRUE)</f>
        <v>54-70</v>
      </c>
    </row>
    <row r="79" spans="2:13">
      <c r="B79" s="48">
        <v>53837589861</v>
      </c>
      <c r="C79" s="49" t="s">
        <v>84</v>
      </c>
      <c r="D79" s="49" t="s">
        <v>13</v>
      </c>
      <c r="E79" s="49" t="s">
        <v>56</v>
      </c>
      <c r="F79" s="49" t="s">
        <v>31</v>
      </c>
      <c r="G79" s="49" t="s">
        <v>32</v>
      </c>
      <c r="H79" s="11">
        <v>30733</v>
      </c>
      <c r="I79" s="11" t="s">
        <v>17</v>
      </c>
      <c r="J79" s="49" t="s">
        <v>33</v>
      </c>
      <c r="K79" s="50">
        <v>79.900000000000006</v>
      </c>
      <c r="L79" s="51">
        <f ca="1">TRUNC((TODAY()-tBase[[#This Row],[Data Nascimento]])/365)</f>
        <v>42</v>
      </c>
      <c r="M79" s="49" t="str">
        <f ca="1">HLOOKUP(tBase[[#This Row],[Idade]],$P$7:$S$8,2,TRUE)</f>
        <v>35 - 44</v>
      </c>
    </row>
    <row r="80" spans="2:13">
      <c r="B80" s="48">
        <v>75105956259</v>
      </c>
      <c r="C80" s="49" t="s">
        <v>84</v>
      </c>
      <c r="D80" s="49" t="s">
        <v>13</v>
      </c>
      <c r="E80" s="49" t="s">
        <v>56</v>
      </c>
      <c r="F80" s="49" t="s">
        <v>31</v>
      </c>
      <c r="G80" s="49" t="s">
        <v>32</v>
      </c>
      <c r="H80" s="11">
        <v>34394</v>
      </c>
      <c r="I80" s="11" t="s">
        <v>36</v>
      </c>
      <c r="J80" s="49" t="s">
        <v>33</v>
      </c>
      <c r="K80" s="50">
        <v>79.900000000000006</v>
      </c>
      <c r="L80" s="51">
        <f ca="1">TRUNC((TODAY()-tBase[[#This Row],[Data Nascimento]])/365)</f>
        <v>32</v>
      </c>
      <c r="M80" s="49" t="str">
        <f ca="1">HLOOKUP(tBase[[#This Row],[Idade]],$P$7:$S$8,2,TRUE)</f>
        <v>24-34</v>
      </c>
    </row>
    <row r="81" spans="2:13">
      <c r="B81" s="48">
        <v>28435465592</v>
      </c>
      <c r="C81" s="49" t="s">
        <v>85</v>
      </c>
      <c r="D81" s="49" t="s">
        <v>13</v>
      </c>
      <c r="E81" s="49" t="s">
        <v>56</v>
      </c>
      <c r="F81" s="49" t="s">
        <v>40</v>
      </c>
      <c r="G81" s="49" t="s">
        <v>16</v>
      </c>
      <c r="H81" s="11">
        <v>34132</v>
      </c>
      <c r="I81" s="11" t="s">
        <v>21</v>
      </c>
      <c r="J81" s="49" t="s">
        <v>41</v>
      </c>
      <c r="K81" s="50">
        <v>29.9</v>
      </c>
      <c r="L81" s="51">
        <f ca="1">TRUNC((TODAY()-tBase[[#This Row],[Data Nascimento]])/365)</f>
        <v>32</v>
      </c>
      <c r="M81" s="49" t="str">
        <f ca="1">HLOOKUP(tBase[[#This Row],[Idade]],$P$7:$S$8,2,TRUE)</f>
        <v>24-34</v>
      </c>
    </row>
    <row r="82" spans="2:13">
      <c r="B82" s="48">
        <v>36953446241</v>
      </c>
      <c r="C82" s="49" t="s">
        <v>85</v>
      </c>
      <c r="D82" s="49" t="s">
        <v>13</v>
      </c>
      <c r="E82" s="49" t="s">
        <v>56</v>
      </c>
      <c r="F82" s="49" t="s">
        <v>40</v>
      </c>
      <c r="G82" s="49" t="s">
        <v>16</v>
      </c>
      <c r="H82" s="11">
        <v>25269</v>
      </c>
      <c r="I82" s="11" t="s">
        <v>21</v>
      </c>
      <c r="J82" s="49" t="s">
        <v>41</v>
      </c>
      <c r="K82" s="50">
        <v>29.9</v>
      </c>
      <c r="L82" s="51">
        <f ca="1">TRUNC((TODAY()-tBase[[#This Row],[Data Nascimento]])/365)</f>
        <v>57</v>
      </c>
      <c r="M82" s="49" t="str">
        <f ca="1">HLOOKUP(tBase[[#This Row],[Idade]],$P$7:$S$8,2,TRUE)</f>
        <v>54-70</v>
      </c>
    </row>
    <row r="83" spans="2:13">
      <c r="B83" s="48">
        <v>45034419141</v>
      </c>
      <c r="C83" s="49" t="s">
        <v>86</v>
      </c>
      <c r="D83" s="49" t="s">
        <v>13</v>
      </c>
      <c r="E83" s="49" t="s">
        <v>56</v>
      </c>
      <c r="F83" s="49" t="s">
        <v>31</v>
      </c>
      <c r="G83" s="49" t="s">
        <v>16</v>
      </c>
      <c r="H83" s="11">
        <v>22505</v>
      </c>
      <c r="I83" s="11" t="s">
        <v>46</v>
      </c>
      <c r="J83" s="49" t="s">
        <v>33</v>
      </c>
      <c r="K83" s="50">
        <v>79.900000000000006</v>
      </c>
      <c r="L83" s="51">
        <f ca="1">TRUNC((TODAY()-tBase[[#This Row],[Data Nascimento]])/365)</f>
        <v>64</v>
      </c>
      <c r="M83" s="49" t="str">
        <f ca="1">HLOOKUP(tBase[[#This Row],[Idade]],$P$7:$S$8,2,TRUE)</f>
        <v>54-70</v>
      </c>
    </row>
    <row r="84" spans="2:13">
      <c r="B84" s="48">
        <v>91362501845</v>
      </c>
      <c r="C84" s="49" t="s">
        <v>86</v>
      </c>
      <c r="D84" s="49" t="s">
        <v>13</v>
      </c>
      <c r="E84" s="49" t="s">
        <v>56</v>
      </c>
      <c r="F84" s="49" t="s">
        <v>31</v>
      </c>
      <c r="G84" s="49" t="s">
        <v>16</v>
      </c>
      <c r="H84" s="11">
        <v>28394</v>
      </c>
      <c r="I84" s="11" t="s">
        <v>17</v>
      </c>
      <c r="J84" s="49" t="s">
        <v>33</v>
      </c>
      <c r="K84" s="50">
        <v>79.900000000000006</v>
      </c>
      <c r="L84" s="51">
        <f ca="1">TRUNC((TODAY()-tBase[[#This Row],[Data Nascimento]])/365)</f>
        <v>48</v>
      </c>
      <c r="M84" s="49" t="str">
        <f ca="1">HLOOKUP(tBase[[#This Row],[Idade]],$P$7:$S$8,2,TRUE)</f>
        <v>44 - 54</v>
      </c>
    </row>
    <row r="85" spans="2:13">
      <c r="B85" s="48">
        <v>29031986542</v>
      </c>
      <c r="C85" s="49" t="s">
        <v>87</v>
      </c>
      <c r="D85" s="49" t="s">
        <v>13</v>
      </c>
      <c r="E85" s="49" t="s">
        <v>56</v>
      </c>
      <c r="F85" s="49" t="s">
        <v>59</v>
      </c>
      <c r="G85" s="49" t="s">
        <v>16</v>
      </c>
      <c r="H85" s="11">
        <v>21026</v>
      </c>
      <c r="I85" s="11" t="s">
        <v>17</v>
      </c>
      <c r="J85" s="49" t="s">
        <v>18</v>
      </c>
      <c r="K85" s="50">
        <v>9.9</v>
      </c>
      <c r="L85" s="51">
        <f ca="1">TRUNC((TODAY()-tBase[[#This Row],[Data Nascimento]])/365)</f>
        <v>68</v>
      </c>
      <c r="M85" s="49" t="str">
        <f ca="1">HLOOKUP(tBase[[#This Row],[Idade]],$P$7:$S$8,2,TRUE)</f>
        <v>54-70</v>
      </c>
    </row>
    <row r="86" spans="2:13">
      <c r="B86" s="48">
        <v>48338358825</v>
      </c>
      <c r="C86" s="49" t="s">
        <v>87</v>
      </c>
      <c r="D86" s="49" t="s">
        <v>13</v>
      </c>
      <c r="E86" s="49" t="s">
        <v>56</v>
      </c>
      <c r="F86" s="49" t="s">
        <v>59</v>
      </c>
      <c r="G86" s="49" t="s">
        <v>16</v>
      </c>
      <c r="H86" s="11">
        <v>32578</v>
      </c>
      <c r="I86" s="11" t="s">
        <v>17</v>
      </c>
      <c r="J86" s="49" t="s">
        <v>18</v>
      </c>
      <c r="K86" s="50">
        <v>9.9</v>
      </c>
      <c r="L86" s="51">
        <f ca="1">TRUNC((TODAY()-tBase[[#This Row],[Data Nascimento]])/365)</f>
        <v>37</v>
      </c>
      <c r="M86" s="49" t="str">
        <f ca="1">HLOOKUP(tBase[[#This Row],[Idade]],$P$7:$S$8,2,TRUE)</f>
        <v>35 - 44</v>
      </c>
    </row>
    <row r="87" spans="2:13">
      <c r="B87" s="48">
        <v>44873409921</v>
      </c>
      <c r="C87" s="49" t="s">
        <v>88</v>
      </c>
      <c r="D87" s="49" t="s">
        <v>13</v>
      </c>
      <c r="E87" s="49" t="s">
        <v>56</v>
      </c>
      <c r="F87" s="49" t="s">
        <v>38</v>
      </c>
      <c r="G87" s="49" t="s">
        <v>32</v>
      </c>
      <c r="H87" s="11">
        <v>31040</v>
      </c>
      <c r="I87" s="11" t="s">
        <v>19</v>
      </c>
      <c r="J87" s="49" t="s">
        <v>41</v>
      </c>
      <c r="K87" s="50">
        <v>29.9</v>
      </c>
      <c r="L87" s="51">
        <f ca="1">TRUNC((TODAY()-tBase[[#This Row],[Data Nascimento]])/365)</f>
        <v>41</v>
      </c>
      <c r="M87" s="49" t="str">
        <f ca="1">HLOOKUP(tBase[[#This Row],[Idade]],$P$7:$S$8,2,TRUE)</f>
        <v>35 - 44</v>
      </c>
    </row>
    <row r="88" spans="2:13">
      <c r="B88" s="48">
        <v>87686193175</v>
      </c>
      <c r="C88" s="49" t="s">
        <v>88</v>
      </c>
      <c r="D88" s="49" t="s">
        <v>13</v>
      </c>
      <c r="E88" s="49" t="s">
        <v>56</v>
      </c>
      <c r="F88" s="49" t="s">
        <v>38</v>
      </c>
      <c r="G88" s="49" t="s">
        <v>32</v>
      </c>
      <c r="H88" s="11">
        <v>35825</v>
      </c>
      <c r="I88" s="11" t="s">
        <v>19</v>
      </c>
      <c r="J88" s="49" t="s">
        <v>41</v>
      </c>
      <c r="K88" s="50">
        <v>29.9</v>
      </c>
      <c r="L88" s="51">
        <f ca="1">TRUNC((TODAY()-tBase[[#This Row],[Data Nascimento]])/365)</f>
        <v>28</v>
      </c>
      <c r="M88" s="49" t="str">
        <f ca="1">HLOOKUP(tBase[[#This Row],[Idade]],$P$7:$S$8,2,TRUE)</f>
        <v>24-34</v>
      </c>
    </row>
    <row r="89" spans="2:13">
      <c r="B89" s="48">
        <v>26552662070</v>
      </c>
      <c r="C89" s="49" t="s">
        <v>89</v>
      </c>
      <c r="D89" s="49" t="s">
        <v>13</v>
      </c>
      <c r="E89" s="49" t="s">
        <v>56</v>
      </c>
      <c r="F89" s="49" t="s">
        <v>31</v>
      </c>
      <c r="G89" s="49" t="s">
        <v>16</v>
      </c>
      <c r="H89" s="11">
        <v>21192</v>
      </c>
      <c r="I89" s="11" t="s">
        <v>17</v>
      </c>
      <c r="J89" s="49" t="s">
        <v>33</v>
      </c>
      <c r="K89" s="50">
        <v>79.900000000000006</v>
      </c>
      <c r="L89" s="51">
        <f ca="1">TRUNC((TODAY()-tBase[[#This Row],[Data Nascimento]])/365)</f>
        <v>68</v>
      </c>
      <c r="M89" s="49" t="str">
        <f ca="1">HLOOKUP(tBase[[#This Row],[Idade]],$P$7:$S$8,2,TRUE)</f>
        <v>54-70</v>
      </c>
    </row>
    <row r="90" spans="2:13">
      <c r="B90" s="48">
        <v>35462568122</v>
      </c>
      <c r="C90" s="49" t="s">
        <v>89</v>
      </c>
      <c r="D90" s="49" t="s">
        <v>13</v>
      </c>
      <c r="E90" s="49" t="s">
        <v>56</v>
      </c>
      <c r="F90" s="49" t="s">
        <v>31</v>
      </c>
      <c r="G90" s="49" t="s">
        <v>16</v>
      </c>
      <c r="H90" s="11">
        <v>28993</v>
      </c>
      <c r="I90" s="11" t="s">
        <v>17</v>
      </c>
      <c r="J90" s="49" t="s">
        <v>33</v>
      </c>
      <c r="K90" s="50">
        <v>79.900000000000006</v>
      </c>
      <c r="L90" s="51">
        <f ca="1">TRUNC((TODAY()-tBase[[#This Row],[Data Nascimento]])/365)</f>
        <v>46</v>
      </c>
      <c r="M90" s="49" t="str">
        <f ca="1">HLOOKUP(tBase[[#This Row],[Idade]],$P$7:$S$8,2,TRUE)</f>
        <v>44 - 54</v>
      </c>
    </row>
    <row r="91" spans="2:13">
      <c r="B91" s="48">
        <v>36224475305</v>
      </c>
      <c r="C91" s="49" t="s">
        <v>90</v>
      </c>
      <c r="D91" s="49" t="s">
        <v>13</v>
      </c>
      <c r="E91" s="49" t="s">
        <v>56</v>
      </c>
      <c r="F91" s="49" t="s">
        <v>62</v>
      </c>
      <c r="G91" s="49" t="s">
        <v>52</v>
      </c>
      <c r="H91" s="11">
        <v>28183</v>
      </c>
      <c r="I91" s="11" t="s">
        <v>19</v>
      </c>
      <c r="J91" s="49" t="s">
        <v>18</v>
      </c>
      <c r="K91" s="50">
        <v>9.9</v>
      </c>
      <c r="L91" s="51">
        <f ca="1">TRUNC((TODAY()-tBase[[#This Row],[Data Nascimento]])/365)</f>
        <v>49</v>
      </c>
      <c r="M91" s="49" t="str">
        <f ca="1">HLOOKUP(tBase[[#This Row],[Idade]],$P$7:$S$8,2,TRUE)</f>
        <v>44 - 54</v>
      </c>
    </row>
    <row r="92" spans="2:13">
      <c r="B92" s="48">
        <v>88238264803</v>
      </c>
      <c r="C92" s="49" t="s">
        <v>90</v>
      </c>
      <c r="D92" s="49" t="s">
        <v>13</v>
      </c>
      <c r="E92" s="49" t="s">
        <v>56</v>
      </c>
      <c r="F92" s="49" t="s">
        <v>62</v>
      </c>
      <c r="G92" s="49" t="s">
        <v>52</v>
      </c>
      <c r="H92" s="11">
        <v>26611</v>
      </c>
      <c r="I92" s="11" t="s">
        <v>17</v>
      </c>
      <c r="J92" s="49" t="s">
        <v>18</v>
      </c>
      <c r="K92" s="50">
        <v>9.9</v>
      </c>
      <c r="L92" s="51">
        <f ca="1">TRUNC((TODAY()-tBase[[#This Row],[Data Nascimento]])/365)</f>
        <v>53</v>
      </c>
      <c r="M92" s="49" t="str">
        <f ca="1">HLOOKUP(tBase[[#This Row],[Idade]],$P$7:$S$8,2,TRUE)</f>
        <v>44 - 54</v>
      </c>
    </row>
    <row r="93" spans="2:13">
      <c r="B93" s="48">
        <v>48910175046</v>
      </c>
      <c r="C93" s="49" t="s">
        <v>91</v>
      </c>
      <c r="D93" s="49" t="s">
        <v>13</v>
      </c>
      <c r="E93" s="49" t="s">
        <v>56</v>
      </c>
      <c r="F93" s="49" t="s">
        <v>15</v>
      </c>
      <c r="G93" s="49" t="s">
        <v>16</v>
      </c>
      <c r="H93" s="11">
        <v>22039</v>
      </c>
      <c r="I93" s="11" t="s">
        <v>46</v>
      </c>
      <c r="J93" s="49" t="s">
        <v>44</v>
      </c>
      <c r="K93" s="50">
        <v>35.9</v>
      </c>
      <c r="L93" s="51">
        <f ca="1">TRUNC((TODAY()-tBase[[#This Row],[Data Nascimento]])/365)</f>
        <v>65</v>
      </c>
      <c r="M93" s="49" t="str">
        <f ca="1">HLOOKUP(tBase[[#This Row],[Idade]],$P$7:$S$8,2,TRUE)</f>
        <v>54-70</v>
      </c>
    </row>
    <row r="94" spans="2:13">
      <c r="B94" s="48">
        <v>99391394012</v>
      </c>
      <c r="C94" s="49" t="s">
        <v>91</v>
      </c>
      <c r="D94" s="49" t="s">
        <v>13</v>
      </c>
      <c r="E94" s="49" t="s">
        <v>56</v>
      </c>
      <c r="F94" s="49" t="s">
        <v>15</v>
      </c>
      <c r="G94" s="49" t="s">
        <v>16</v>
      </c>
      <c r="H94" s="11">
        <v>36312</v>
      </c>
      <c r="I94" s="11" t="s">
        <v>19</v>
      </c>
      <c r="J94" s="49" t="s">
        <v>44</v>
      </c>
      <c r="K94" s="50">
        <v>35.9</v>
      </c>
      <c r="L94" s="51">
        <f ca="1">TRUNC((TODAY()-tBase[[#This Row],[Data Nascimento]])/365)</f>
        <v>26</v>
      </c>
      <c r="M94" s="49" t="str">
        <f ca="1">HLOOKUP(tBase[[#This Row],[Idade]],$P$7:$S$8,2,TRUE)</f>
        <v>24-34</v>
      </c>
    </row>
    <row r="95" spans="2:13">
      <c r="B95" s="48">
        <v>53544540367</v>
      </c>
      <c r="C95" s="49" t="s">
        <v>92</v>
      </c>
      <c r="D95" s="49" t="s">
        <v>13</v>
      </c>
      <c r="E95" s="49" t="s">
        <v>56</v>
      </c>
      <c r="F95" s="49" t="s">
        <v>31</v>
      </c>
      <c r="G95" s="49" t="s">
        <v>32</v>
      </c>
      <c r="H95" s="11">
        <v>32321</v>
      </c>
      <c r="I95" s="11" t="s">
        <v>19</v>
      </c>
      <c r="J95" s="49" t="s">
        <v>33</v>
      </c>
      <c r="K95" s="50">
        <v>79.900000000000006</v>
      </c>
      <c r="L95" s="51">
        <f ca="1">TRUNC((TODAY()-tBase[[#This Row],[Data Nascimento]])/365)</f>
        <v>37</v>
      </c>
      <c r="M95" s="49" t="str">
        <f ca="1">HLOOKUP(tBase[[#This Row],[Idade]],$P$7:$S$8,2,TRUE)</f>
        <v>35 - 44</v>
      </c>
    </row>
    <row r="96" spans="2:13">
      <c r="B96" s="48">
        <v>93174372517</v>
      </c>
      <c r="C96" s="49" t="s">
        <v>92</v>
      </c>
      <c r="D96" s="49" t="s">
        <v>13</v>
      </c>
      <c r="E96" s="49" t="s">
        <v>56</v>
      </c>
      <c r="F96" s="49" t="s">
        <v>31</v>
      </c>
      <c r="G96" s="49" t="s">
        <v>32</v>
      </c>
      <c r="H96" s="11">
        <v>28633</v>
      </c>
      <c r="I96" s="11" t="s">
        <v>19</v>
      </c>
      <c r="J96" s="49" t="s">
        <v>33</v>
      </c>
      <c r="K96" s="50">
        <v>79.900000000000006</v>
      </c>
      <c r="L96" s="51">
        <f ca="1">TRUNC((TODAY()-tBase[[#This Row],[Data Nascimento]])/365)</f>
        <v>47</v>
      </c>
      <c r="M96" s="49" t="str">
        <f ca="1">HLOOKUP(tBase[[#This Row],[Idade]],$P$7:$S$8,2,TRUE)</f>
        <v>44 - 54</v>
      </c>
    </row>
    <row r="97" spans="2:13">
      <c r="B97" s="48">
        <v>30135605541</v>
      </c>
      <c r="C97" s="49" t="s">
        <v>93</v>
      </c>
      <c r="D97" s="49" t="s">
        <v>13</v>
      </c>
      <c r="E97" s="49" t="s">
        <v>56</v>
      </c>
      <c r="F97" s="49" t="s">
        <v>40</v>
      </c>
      <c r="G97" s="49" t="s">
        <v>16</v>
      </c>
      <c r="H97" s="11">
        <v>21928</v>
      </c>
      <c r="I97" s="11" t="s">
        <v>21</v>
      </c>
      <c r="J97" s="49" t="s">
        <v>41</v>
      </c>
      <c r="K97" s="50">
        <v>29.9</v>
      </c>
      <c r="L97" s="51">
        <f ca="1">TRUNC((TODAY()-tBase[[#This Row],[Data Nascimento]])/365)</f>
        <v>66</v>
      </c>
      <c r="M97" s="49" t="str">
        <f ca="1">HLOOKUP(tBase[[#This Row],[Idade]],$P$7:$S$8,2,TRUE)</f>
        <v>54-70</v>
      </c>
    </row>
    <row r="98" spans="2:13">
      <c r="B98" s="48">
        <v>95202710429</v>
      </c>
      <c r="C98" s="49" t="s">
        <v>93</v>
      </c>
      <c r="D98" s="49" t="s">
        <v>13</v>
      </c>
      <c r="E98" s="49" t="s">
        <v>56</v>
      </c>
      <c r="F98" s="49" t="s">
        <v>40</v>
      </c>
      <c r="G98" s="49" t="s">
        <v>32</v>
      </c>
      <c r="H98" s="11">
        <v>24300</v>
      </c>
      <c r="I98" s="11" t="s">
        <v>17</v>
      </c>
      <c r="J98" s="49" t="s">
        <v>41</v>
      </c>
      <c r="K98" s="50">
        <v>29.9</v>
      </c>
      <c r="L98" s="51">
        <f ca="1">TRUNC((TODAY()-tBase[[#This Row],[Data Nascimento]])/365)</f>
        <v>59</v>
      </c>
      <c r="M98" s="49" t="str">
        <f ca="1">HLOOKUP(tBase[[#This Row],[Idade]],$P$7:$S$8,2,TRUE)</f>
        <v>54-70</v>
      </c>
    </row>
    <row r="99" spans="2:13">
      <c r="B99" s="48">
        <v>35548890934</v>
      </c>
      <c r="C99" s="49" t="s">
        <v>94</v>
      </c>
      <c r="D99" s="49" t="s">
        <v>13</v>
      </c>
      <c r="E99" s="49" t="s">
        <v>56</v>
      </c>
      <c r="F99" s="49" t="s">
        <v>38</v>
      </c>
      <c r="G99" s="49" t="s">
        <v>32</v>
      </c>
      <c r="H99" s="11">
        <v>32232</v>
      </c>
      <c r="I99" s="11" t="s">
        <v>24</v>
      </c>
      <c r="J99" s="49" t="s">
        <v>41</v>
      </c>
      <c r="K99" s="50">
        <v>29.9</v>
      </c>
      <c r="L99" s="51">
        <f ca="1">TRUNC((TODAY()-tBase[[#This Row],[Data Nascimento]])/365)</f>
        <v>38</v>
      </c>
      <c r="M99" s="49" t="str">
        <f ca="1">HLOOKUP(tBase[[#This Row],[Idade]],$P$7:$S$8,2,TRUE)</f>
        <v>35 - 44</v>
      </c>
    </row>
    <row r="100" spans="2:13">
      <c r="B100" s="48">
        <v>50850484107</v>
      </c>
      <c r="C100" s="49" t="s">
        <v>94</v>
      </c>
      <c r="D100" s="49" t="s">
        <v>13</v>
      </c>
      <c r="E100" s="49" t="s">
        <v>56</v>
      </c>
      <c r="F100" s="49" t="s">
        <v>38</v>
      </c>
      <c r="G100" s="49" t="s">
        <v>32</v>
      </c>
      <c r="H100" s="11">
        <v>32487</v>
      </c>
      <c r="I100" s="11" t="s">
        <v>17</v>
      </c>
      <c r="J100" s="49" t="s">
        <v>41</v>
      </c>
      <c r="K100" s="50">
        <v>29.9</v>
      </c>
      <c r="L100" s="51">
        <f ca="1">TRUNC((TODAY()-tBase[[#This Row],[Data Nascimento]])/365)</f>
        <v>37</v>
      </c>
      <c r="M100" s="49" t="str">
        <f ca="1">HLOOKUP(tBase[[#This Row],[Idade]],$P$7:$S$8,2,TRUE)</f>
        <v>35 - 44</v>
      </c>
    </row>
    <row r="101" spans="2:13">
      <c r="B101" s="48">
        <v>43743382226</v>
      </c>
      <c r="C101" s="49" t="s">
        <v>95</v>
      </c>
      <c r="D101" s="49" t="s">
        <v>13</v>
      </c>
      <c r="E101" s="49" t="s">
        <v>56</v>
      </c>
      <c r="F101" s="49" t="s">
        <v>38</v>
      </c>
      <c r="G101" s="49" t="s">
        <v>16</v>
      </c>
      <c r="H101" s="11">
        <v>33082</v>
      </c>
      <c r="I101" s="11" t="s">
        <v>19</v>
      </c>
      <c r="J101" s="49" t="s">
        <v>41</v>
      </c>
      <c r="K101" s="50">
        <v>29.9</v>
      </c>
      <c r="L101" s="51">
        <f ca="1">TRUNC((TODAY()-tBase[[#This Row],[Data Nascimento]])/365)</f>
        <v>35</v>
      </c>
      <c r="M101" s="49" t="str">
        <f ca="1">HLOOKUP(tBase[[#This Row],[Idade]],$P$7:$S$8,2,TRUE)</f>
        <v>35 - 44</v>
      </c>
    </row>
    <row r="102" spans="2:13">
      <c r="B102" s="48">
        <v>51769930316</v>
      </c>
      <c r="C102" s="49" t="s">
        <v>95</v>
      </c>
      <c r="D102" s="49" t="s">
        <v>13</v>
      </c>
      <c r="E102" s="49" t="s">
        <v>56</v>
      </c>
      <c r="F102" s="49" t="s">
        <v>38</v>
      </c>
      <c r="G102" s="49" t="s">
        <v>16</v>
      </c>
      <c r="H102" s="11">
        <v>25885</v>
      </c>
      <c r="I102" s="11" t="s">
        <v>46</v>
      </c>
      <c r="J102" s="49" t="s">
        <v>41</v>
      </c>
      <c r="K102" s="50">
        <v>29.9</v>
      </c>
      <c r="L102" s="51">
        <f ca="1">TRUNC((TODAY()-tBase[[#This Row],[Data Nascimento]])/365)</f>
        <v>55</v>
      </c>
      <c r="M102" s="49" t="str">
        <f ca="1">HLOOKUP(tBase[[#This Row],[Idade]],$P$7:$S$8,2,TRUE)</f>
        <v>54-70</v>
      </c>
    </row>
    <row r="103" spans="2:13">
      <c r="B103" s="48">
        <v>37770682454</v>
      </c>
      <c r="C103" s="49" t="s">
        <v>96</v>
      </c>
      <c r="D103" s="49" t="s">
        <v>13</v>
      </c>
      <c r="E103" s="49" t="s">
        <v>56</v>
      </c>
      <c r="F103" s="49" t="s">
        <v>31</v>
      </c>
      <c r="G103" s="49" t="s">
        <v>32</v>
      </c>
      <c r="H103" s="11">
        <v>24066</v>
      </c>
      <c r="I103" s="11" t="s">
        <v>24</v>
      </c>
      <c r="J103" s="49" t="s">
        <v>33</v>
      </c>
      <c r="K103" s="50">
        <v>79.900000000000006</v>
      </c>
      <c r="L103" s="51">
        <f ca="1">TRUNC((TODAY()-tBase[[#This Row],[Data Nascimento]])/365)</f>
        <v>60</v>
      </c>
      <c r="M103" s="49" t="str">
        <f ca="1">HLOOKUP(tBase[[#This Row],[Idade]],$P$7:$S$8,2,TRUE)</f>
        <v>54-70</v>
      </c>
    </row>
    <row r="104" spans="2:13">
      <c r="B104" s="48">
        <v>49281927823</v>
      </c>
      <c r="C104" s="49" t="s">
        <v>96</v>
      </c>
      <c r="D104" s="49" t="s">
        <v>13</v>
      </c>
      <c r="E104" s="49" t="s">
        <v>56</v>
      </c>
      <c r="F104" s="49" t="s">
        <v>31</v>
      </c>
      <c r="G104" s="49" t="s">
        <v>32</v>
      </c>
      <c r="H104" s="11">
        <v>34329</v>
      </c>
      <c r="I104" s="11" t="s">
        <v>17</v>
      </c>
      <c r="J104" s="49" t="s">
        <v>33</v>
      </c>
      <c r="K104" s="50">
        <v>79.900000000000006</v>
      </c>
      <c r="L104" s="51">
        <f ca="1">TRUNC((TODAY()-tBase[[#This Row],[Data Nascimento]])/365)</f>
        <v>32</v>
      </c>
      <c r="M104" s="49" t="str">
        <f ca="1">HLOOKUP(tBase[[#This Row],[Idade]],$P$7:$S$8,2,TRUE)</f>
        <v>24-34</v>
      </c>
    </row>
    <row r="105" spans="2:13">
      <c r="B105" s="48">
        <v>42346270511</v>
      </c>
      <c r="C105" s="49" t="s">
        <v>97</v>
      </c>
      <c r="D105" s="49" t="s">
        <v>13</v>
      </c>
      <c r="E105" s="49" t="s">
        <v>56</v>
      </c>
      <c r="F105" s="49" t="s">
        <v>38</v>
      </c>
      <c r="G105" s="49" t="s">
        <v>52</v>
      </c>
      <c r="H105" s="11">
        <v>30254</v>
      </c>
      <c r="I105" s="11" t="s">
        <v>17</v>
      </c>
      <c r="J105" s="49" t="s">
        <v>41</v>
      </c>
      <c r="K105" s="50">
        <v>29.9</v>
      </c>
      <c r="L105" s="51">
        <f ca="1">TRUNC((TODAY()-tBase[[#This Row],[Data Nascimento]])/365)</f>
        <v>43</v>
      </c>
      <c r="M105" s="49" t="str">
        <f ca="1">HLOOKUP(tBase[[#This Row],[Idade]],$P$7:$S$8,2,TRUE)</f>
        <v>35 - 44</v>
      </c>
    </row>
    <row r="106" spans="2:13">
      <c r="B106" s="48">
        <v>86094864413</v>
      </c>
      <c r="C106" s="49" t="s">
        <v>97</v>
      </c>
      <c r="D106" s="49" t="s">
        <v>13</v>
      </c>
      <c r="E106" s="49" t="s">
        <v>56</v>
      </c>
      <c r="F106" s="49" t="s">
        <v>38</v>
      </c>
      <c r="G106" s="49" t="s">
        <v>52</v>
      </c>
      <c r="H106" s="11">
        <v>31474</v>
      </c>
      <c r="I106" s="11" t="s">
        <v>17</v>
      </c>
      <c r="J106" s="49" t="s">
        <v>41</v>
      </c>
      <c r="K106" s="50">
        <v>29.9</v>
      </c>
      <c r="L106" s="51">
        <f ca="1">TRUNC((TODAY()-tBase[[#This Row],[Data Nascimento]])/365)</f>
        <v>40</v>
      </c>
      <c r="M106" s="49" t="str">
        <f ca="1">HLOOKUP(tBase[[#This Row],[Idade]],$P$7:$S$8,2,TRUE)</f>
        <v>35 - 44</v>
      </c>
    </row>
    <row r="107" spans="2:13">
      <c r="B107" s="48">
        <v>38507330255</v>
      </c>
      <c r="C107" s="49" t="s">
        <v>98</v>
      </c>
      <c r="D107" s="49" t="s">
        <v>13</v>
      </c>
      <c r="E107" s="49" t="s">
        <v>56</v>
      </c>
      <c r="F107" s="49" t="s">
        <v>38</v>
      </c>
      <c r="G107" s="49" t="s">
        <v>16</v>
      </c>
      <c r="H107" s="11">
        <v>26164</v>
      </c>
      <c r="I107" s="11" t="s">
        <v>36</v>
      </c>
      <c r="J107" s="49" t="s">
        <v>44</v>
      </c>
      <c r="K107" s="50">
        <v>35.9</v>
      </c>
      <c r="L107" s="51">
        <f ca="1">TRUNC((TODAY()-tBase[[#This Row],[Data Nascimento]])/365)</f>
        <v>54</v>
      </c>
      <c r="M107" s="49" t="str">
        <f ca="1">HLOOKUP(tBase[[#This Row],[Idade]],$P$7:$S$8,2,TRUE)</f>
        <v>54-70</v>
      </c>
    </row>
    <row r="108" spans="2:13">
      <c r="B108" s="48">
        <v>48711816230</v>
      </c>
      <c r="C108" s="49" t="s">
        <v>98</v>
      </c>
      <c r="D108" s="49" t="s">
        <v>13</v>
      </c>
      <c r="E108" s="49" t="s">
        <v>56</v>
      </c>
      <c r="F108" s="49" t="s">
        <v>38</v>
      </c>
      <c r="G108" s="49" t="s">
        <v>16</v>
      </c>
      <c r="H108" s="11">
        <v>21718</v>
      </c>
      <c r="I108" s="11" t="s">
        <v>46</v>
      </c>
      <c r="J108" s="49" t="s">
        <v>44</v>
      </c>
      <c r="K108" s="50">
        <v>35.9</v>
      </c>
      <c r="L108" s="51">
        <f ca="1">TRUNC((TODAY()-tBase[[#This Row],[Data Nascimento]])/365)</f>
        <v>66</v>
      </c>
      <c r="M108" s="49" t="str">
        <f ca="1">HLOOKUP(tBase[[#This Row],[Idade]],$P$7:$S$8,2,TRUE)</f>
        <v>54-70</v>
      </c>
    </row>
    <row r="109" spans="2:13">
      <c r="B109" s="48">
        <v>47979032104</v>
      </c>
      <c r="C109" s="49" t="s">
        <v>99</v>
      </c>
      <c r="D109" s="49" t="s">
        <v>13</v>
      </c>
      <c r="E109" s="49" t="s">
        <v>56</v>
      </c>
      <c r="F109" s="49" t="s">
        <v>38</v>
      </c>
      <c r="G109" s="49" t="s">
        <v>32</v>
      </c>
      <c r="H109" s="11">
        <v>25909</v>
      </c>
      <c r="I109" s="11" t="s">
        <v>17</v>
      </c>
      <c r="J109" s="49" t="s">
        <v>41</v>
      </c>
      <c r="K109" s="50">
        <v>29.9</v>
      </c>
      <c r="L109" s="51">
        <f ca="1">TRUNC((TODAY()-tBase[[#This Row],[Data Nascimento]])/365)</f>
        <v>55</v>
      </c>
      <c r="M109" s="49" t="str">
        <f ca="1">HLOOKUP(tBase[[#This Row],[Idade]],$P$7:$S$8,2,TRUE)</f>
        <v>54-70</v>
      </c>
    </row>
    <row r="110" spans="2:13">
      <c r="B110" s="48">
        <v>51147741385</v>
      </c>
      <c r="C110" s="49" t="s">
        <v>99</v>
      </c>
      <c r="D110" s="49" t="s">
        <v>13</v>
      </c>
      <c r="E110" s="49" t="s">
        <v>56</v>
      </c>
      <c r="F110" s="49" t="s">
        <v>38</v>
      </c>
      <c r="G110" s="49" t="s">
        <v>32</v>
      </c>
      <c r="H110" s="11">
        <v>31420</v>
      </c>
      <c r="I110" s="11" t="s">
        <v>17</v>
      </c>
      <c r="J110" s="49" t="s">
        <v>41</v>
      </c>
      <c r="K110" s="50">
        <v>29.9</v>
      </c>
      <c r="L110" s="51">
        <f ca="1">TRUNC((TODAY()-tBase[[#This Row],[Data Nascimento]])/365)</f>
        <v>40</v>
      </c>
      <c r="M110" s="49" t="str">
        <f ca="1">HLOOKUP(tBase[[#This Row],[Idade]],$P$7:$S$8,2,TRUE)</f>
        <v>35 - 44</v>
      </c>
    </row>
    <row r="111" spans="2:13">
      <c r="B111" s="48">
        <v>40248631760</v>
      </c>
      <c r="C111" s="49" t="s">
        <v>100</v>
      </c>
      <c r="D111" s="49" t="s">
        <v>13</v>
      </c>
      <c r="E111" s="49" t="s">
        <v>56</v>
      </c>
      <c r="F111" s="49" t="s">
        <v>15</v>
      </c>
      <c r="G111" s="49" t="s">
        <v>32</v>
      </c>
      <c r="H111" s="11">
        <v>34838</v>
      </c>
      <c r="I111" s="11" t="s">
        <v>21</v>
      </c>
      <c r="J111" s="49" t="s">
        <v>18</v>
      </c>
      <c r="K111" s="50">
        <v>9.9</v>
      </c>
      <c r="L111" s="51">
        <f ca="1">TRUNC((TODAY()-tBase[[#This Row],[Data Nascimento]])/365)</f>
        <v>30</v>
      </c>
      <c r="M111" s="49" t="str">
        <f ca="1">HLOOKUP(tBase[[#This Row],[Idade]],$P$7:$S$8,2,TRUE)</f>
        <v>24-34</v>
      </c>
    </row>
    <row r="112" spans="2:13">
      <c r="B112" s="48">
        <v>63568912225</v>
      </c>
      <c r="C112" s="49" t="s">
        <v>100</v>
      </c>
      <c r="D112" s="49" t="s">
        <v>13</v>
      </c>
      <c r="E112" s="49" t="s">
        <v>56</v>
      </c>
      <c r="F112" s="49" t="s">
        <v>15</v>
      </c>
      <c r="G112" s="49" t="s">
        <v>32</v>
      </c>
      <c r="H112" s="11">
        <v>27444</v>
      </c>
      <c r="I112" s="11" t="s">
        <v>17</v>
      </c>
      <c r="J112" s="49" t="s">
        <v>18</v>
      </c>
      <c r="K112" s="50">
        <v>9.9</v>
      </c>
      <c r="L112" s="51">
        <f ca="1">TRUNC((TODAY()-tBase[[#This Row],[Data Nascimento]])/365)</f>
        <v>51</v>
      </c>
      <c r="M112" s="49" t="str">
        <f ca="1">HLOOKUP(tBase[[#This Row],[Idade]],$P$7:$S$8,2,TRUE)</f>
        <v>44 - 54</v>
      </c>
    </row>
    <row r="113" spans="2:13">
      <c r="B113" s="48">
        <v>43251240742</v>
      </c>
      <c r="C113" s="49" t="s">
        <v>101</v>
      </c>
      <c r="D113" s="49" t="s">
        <v>13</v>
      </c>
      <c r="E113" s="49" t="s">
        <v>56</v>
      </c>
      <c r="F113" s="49" t="s">
        <v>38</v>
      </c>
      <c r="G113" s="49" t="s">
        <v>16</v>
      </c>
      <c r="H113" s="11">
        <v>27285</v>
      </c>
      <c r="I113" s="11" t="s">
        <v>17</v>
      </c>
      <c r="J113" s="49" t="s">
        <v>18</v>
      </c>
      <c r="K113" s="50">
        <v>9.9</v>
      </c>
      <c r="L113" s="51">
        <f ca="1">TRUNC((TODAY()-tBase[[#This Row],[Data Nascimento]])/365)</f>
        <v>51</v>
      </c>
      <c r="M113" s="49" t="str">
        <f ca="1">HLOOKUP(tBase[[#This Row],[Idade]],$P$7:$S$8,2,TRUE)</f>
        <v>44 - 54</v>
      </c>
    </row>
    <row r="114" spans="2:13">
      <c r="B114" s="48">
        <v>76755306471</v>
      </c>
      <c r="C114" s="49" t="s">
        <v>101</v>
      </c>
      <c r="D114" s="49" t="s">
        <v>13</v>
      </c>
      <c r="E114" s="49" t="s">
        <v>56</v>
      </c>
      <c r="F114" s="49" t="s">
        <v>38</v>
      </c>
      <c r="G114" s="49" t="s">
        <v>16</v>
      </c>
      <c r="H114" s="11">
        <v>30390</v>
      </c>
      <c r="I114" s="11" t="s">
        <v>17</v>
      </c>
      <c r="J114" s="49" t="s">
        <v>18</v>
      </c>
      <c r="K114" s="50">
        <v>9.9</v>
      </c>
      <c r="L114" s="51">
        <f ca="1">TRUNC((TODAY()-tBase[[#This Row],[Data Nascimento]])/365)</f>
        <v>43</v>
      </c>
      <c r="M114" s="49" t="str">
        <f ca="1">HLOOKUP(tBase[[#This Row],[Idade]],$P$7:$S$8,2,TRUE)</f>
        <v>35 - 44</v>
      </c>
    </row>
    <row r="115" spans="2:13">
      <c r="B115" s="48">
        <v>27448464474</v>
      </c>
      <c r="C115" s="49" t="s">
        <v>102</v>
      </c>
      <c r="D115" s="49" t="s">
        <v>13</v>
      </c>
      <c r="E115" s="49" t="s">
        <v>56</v>
      </c>
      <c r="F115" s="49" t="s">
        <v>15</v>
      </c>
      <c r="G115" s="49" t="s">
        <v>32</v>
      </c>
      <c r="H115" s="11">
        <v>26478</v>
      </c>
      <c r="I115" s="11" t="s">
        <v>46</v>
      </c>
      <c r="J115" s="49" t="s">
        <v>18</v>
      </c>
      <c r="K115" s="50">
        <v>9.9</v>
      </c>
      <c r="L115" s="51">
        <f ca="1">TRUNC((TODAY()-tBase[[#This Row],[Data Nascimento]])/365)</f>
        <v>53</v>
      </c>
      <c r="M115" s="49" t="str">
        <f ca="1">HLOOKUP(tBase[[#This Row],[Idade]],$P$7:$S$8,2,TRUE)</f>
        <v>44 - 54</v>
      </c>
    </row>
    <row r="116" spans="2:13">
      <c r="B116" s="48">
        <v>94559470168</v>
      </c>
      <c r="C116" s="49" t="s">
        <v>102</v>
      </c>
      <c r="D116" s="49" t="s">
        <v>13</v>
      </c>
      <c r="E116" s="49" t="s">
        <v>56</v>
      </c>
      <c r="F116" s="49" t="s">
        <v>15</v>
      </c>
      <c r="G116" s="49" t="s">
        <v>32</v>
      </c>
      <c r="H116" s="11">
        <v>36149</v>
      </c>
      <c r="I116" s="11" t="s">
        <v>17</v>
      </c>
      <c r="J116" s="49" t="s">
        <v>18</v>
      </c>
      <c r="K116" s="50">
        <v>9.9</v>
      </c>
      <c r="L116" s="51">
        <f ca="1">TRUNC((TODAY()-tBase[[#This Row],[Data Nascimento]])/365)</f>
        <v>27</v>
      </c>
      <c r="M116" s="49" t="str">
        <f ca="1">HLOOKUP(tBase[[#This Row],[Idade]],$P$7:$S$8,2,TRUE)</f>
        <v>24-34</v>
      </c>
    </row>
    <row r="117" spans="2:13">
      <c r="B117" s="48">
        <v>23832649809</v>
      </c>
      <c r="C117" s="49" t="s">
        <v>103</v>
      </c>
      <c r="D117" s="49" t="s">
        <v>13</v>
      </c>
      <c r="E117" s="49" t="s">
        <v>56</v>
      </c>
      <c r="F117" s="49" t="s">
        <v>31</v>
      </c>
      <c r="G117" s="49" t="s">
        <v>32</v>
      </c>
      <c r="H117" s="11">
        <v>21969</v>
      </c>
      <c r="I117" s="11" t="s">
        <v>17</v>
      </c>
      <c r="J117" s="49" t="s">
        <v>33</v>
      </c>
      <c r="K117" s="50">
        <v>79.900000000000006</v>
      </c>
      <c r="L117" s="51">
        <f ca="1">TRUNC((TODAY()-tBase[[#This Row],[Data Nascimento]])/365)</f>
        <v>66</v>
      </c>
      <c r="M117" s="49" t="str">
        <f ca="1">HLOOKUP(tBase[[#This Row],[Idade]],$P$7:$S$8,2,TRUE)</f>
        <v>54-70</v>
      </c>
    </row>
    <row r="118" spans="2:13">
      <c r="B118" s="48">
        <v>68766514941</v>
      </c>
      <c r="C118" s="49" t="s">
        <v>103</v>
      </c>
      <c r="D118" s="49" t="s">
        <v>13</v>
      </c>
      <c r="E118" s="49" t="s">
        <v>56</v>
      </c>
      <c r="F118" s="49" t="s">
        <v>31</v>
      </c>
      <c r="G118" s="49" t="s">
        <v>32</v>
      </c>
      <c r="H118" s="11">
        <v>31861</v>
      </c>
      <c r="I118" s="11" t="s">
        <v>19</v>
      </c>
      <c r="J118" s="49" t="s">
        <v>33</v>
      </c>
      <c r="K118" s="50">
        <v>79.900000000000006</v>
      </c>
      <c r="L118" s="51">
        <f ca="1">TRUNC((TODAY()-tBase[[#This Row],[Data Nascimento]])/365)</f>
        <v>39</v>
      </c>
      <c r="M118" s="49" t="str">
        <f ca="1">HLOOKUP(tBase[[#This Row],[Idade]],$P$7:$S$8,2,TRUE)</f>
        <v>35 - 44</v>
      </c>
    </row>
    <row r="119" spans="2:13">
      <c r="B119" s="48">
        <v>29550625936</v>
      </c>
      <c r="C119" s="49" t="s">
        <v>104</v>
      </c>
      <c r="D119" s="49" t="s">
        <v>13</v>
      </c>
      <c r="E119" s="49" t="s">
        <v>56</v>
      </c>
      <c r="F119" s="49" t="s">
        <v>15</v>
      </c>
      <c r="G119" s="49" t="s">
        <v>16</v>
      </c>
      <c r="H119" s="11">
        <v>29155</v>
      </c>
      <c r="I119" s="11" t="s">
        <v>19</v>
      </c>
      <c r="J119" s="49" t="s">
        <v>41</v>
      </c>
      <c r="K119" s="50">
        <v>29.9</v>
      </c>
      <c r="L119" s="51">
        <f ca="1">TRUNC((TODAY()-tBase[[#This Row],[Data Nascimento]])/365)</f>
        <v>46</v>
      </c>
      <c r="M119" s="49" t="str">
        <f ca="1">HLOOKUP(tBase[[#This Row],[Idade]],$P$7:$S$8,2,TRUE)</f>
        <v>44 - 54</v>
      </c>
    </row>
    <row r="120" spans="2:13">
      <c r="B120" s="48">
        <v>88896839501</v>
      </c>
      <c r="C120" s="49" t="s">
        <v>104</v>
      </c>
      <c r="D120" s="49" t="s">
        <v>13</v>
      </c>
      <c r="E120" s="49" t="s">
        <v>56</v>
      </c>
      <c r="F120" s="49" t="s">
        <v>15</v>
      </c>
      <c r="G120" s="49" t="s">
        <v>16</v>
      </c>
      <c r="H120" s="11">
        <v>23187</v>
      </c>
      <c r="I120" s="11" t="s">
        <v>21</v>
      </c>
      <c r="J120" s="49" t="s">
        <v>41</v>
      </c>
      <c r="K120" s="50">
        <v>29.9</v>
      </c>
      <c r="L120" s="51">
        <f ca="1">TRUNC((TODAY()-tBase[[#This Row],[Data Nascimento]])/365)</f>
        <v>62</v>
      </c>
      <c r="M120" s="49" t="str">
        <f ca="1">HLOOKUP(tBase[[#This Row],[Idade]],$P$7:$S$8,2,TRUE)</f>
        <v>54-70</v>
      </c>
    </row>
    <row r="121" spans="2:13">
      <c r="B121" s="48">
        <v>36873140092</v>
      </c>
      <c r="C121" s="49" t="s">
        <v>105</v>
      </c>
      <c r="D121" s="49" t="s">
        <v>13</v>
      </c>
      <c r="E121" s="49" t="s">
        <v>56</v>
      </c>
      <c r="F121" s="49" t="s">
        <v>38</v>
      </c>
      <c r="G121" s="49" t="s">
        <v>52</v>
      </c>
      <c r="H121" s="11">
        <v>33437</v>
      </c>
      <c r="I121" s="11" t="s">
        <v>21</v>
      </c>
      <c r="J121" s="49" t="s">
        <v>41</v>
      </c>
      <c r="K121" s="50">
        <v>29.9</v>
      </c>
      <c r="L121" s="51">
        <f ca="1">TRUNC((TODAY()-tBase[[#This Row],[Data Nascimento]])/365)</f>
        <v>34</v>
      </c>
      <c r="M121" s="49" t="str">
        <f ca="1">HLOOKUP(tBase[[#This Row],[Idade]],$P$7:$S$8,2,TRUE)</f>
        <v>24-34</v>
      </c>
    </row>
    <row r="122" spans="2:13">
      <c r="B122" s="48">
        <v>66332658626</v>
      </c>
      <c r="C122" s="49" t="s">
        <v>105</v>
      </c>
      <c r="D122" s="49" t="s">
        <v>13</v>
      </c>
      <c r="E122" s="49" t="s">
        <v>56</v>
      </c>
      <c r="F122" s="49" t="s">
        <v>38</v>
      </c>
      <c r="G122" s="49" t="s">
        <v>52</v>
      </c>
      <c r="H122" s="11">
        <v>23463</v>
      </c>
      <c r="I122" s="11" t="s">
        <v>17</v>
      </c>
      <c r="J122" s="49" t="s">
        <v>41</v>
      </c>
      <c r="K122" s="50">
        <v>29.9</v>
      </c>
      <c r="L122" s="51">
        <f ca="1">TRUNC((TODAY()-tBase[[#This Row],[Data Nascimento]])/365)</f>
        <v>62</v>
      </c>
      <c r="M122" s="49" t="str">
        <f ca="1">HLOOKUP(tBase[[#This Row],[Idade]],$P$7:$S$8,2,TRUE)</f>
        <v>54-70</v>
      </c>
    </row>
    <row r="123" spans="2:13">
      <c r="B123" s="48">
        <v>22545488634</v>
      </c>
      <c r="C123" s="49" t="s">
        <v>106</v>
      </c>
      <c r="D123" s="49" t="s">
        <v>13</v>
      </c>
      <c r="E123" s="49" t="s">
        <v>56</v>
      </c>
      <c r="F123" s="49" t="s">
        <v>62</v>
      </c>
      <c r="G123" s="49" t="s">
        <v>16</v>
      </c>
      <c r="H123" s="11">
        <v>22524</v>
      </c>
      <c r="I123" s="11" t="s">
        <v>17</v>
      </c>
      <c r="J123" s="49" t="s">
        <v>18</v>
      </c>
      <c r="K123" s="50">
        <v>9.9</v>
      </c>
      <c r="L123" s="51">
        <f ca="1">TRUNC((TODAY()-tBase[[#This Row],[Data Nascimento]])/365)</f>
        <v>64</v>
      </c>
      <c r="M123" s="49" t="str">
        <f ca="1">HLOOKUP(tBase[[#This Row],[Idade]],$P$7:$S$8,2,TRUE)</f>
        <v>54-70</v>
      </c>
    </row>
    <row r="124" spans="2:13">
      <c r="B124" s="48">
        <v>45881940290</v>
      </c>
      <c r="C124" s="49" t="s">
        <v>106</v>
      </c>
      <c r="D124" s="49" t="s">
        <v>13</v>
      </c>
      <c r="E124" s="49" t="s">
        <v>56</v>
      </c>
      <c r="F124" s="49" t="s">
        <v>62</v>
      </c>
      <c r="G124" s="49" t="s">
        <v>16</v>
      </c>
      <c r="H124" s="11">
        <v>32142</v>
      </c>
      <c r="I124" s="11" t="s">
        <v>24</v>
      </c>
      <c r="J124" s="49" t="s">
        <v>18</v>
      </c>
      <c r="K124" s="50">
        <v>9.9</v>
      </c>
      <c r="L124" s="51">
        <f ca="1">TRUNC((TODAY()-tBase[[#This Row],[Data Nascimento]])/365)</f>
        <v>38</v>
      </c>
      <c r="M124" s="49" t="str">
        <f ca="1">HLOOKUP(tBase[[#This Row],[Idade]],$P$7:$S$8,2,TRUE)</f>
        <v>35 - 44</v>
      </c>
    </row>
    <row r="125" spans="2:13">
      <c r="B125" s="48">
        <v>50013996249</v>
      </c>
      <c r="C125" s="49" t="s">
        <v>107</v>
      </c>
      <c r="D125" s="49" t="s">
        <v>13</v>
      </c>
      <c r="E125" s="49" t="s">
        <v>56</v>
      </c>
      <c r="F125" s="49" t="s">
        <v>15</v>
      </c>
      <c r="G125" s="49" t="s">
        <v>16</v>
      </c>
      <c r="H125" s="11">
        <v>24872</v>
      </c>
      <c r="I125" s="11" t="s">
        <v>24</v>
      </c>
      <c r="J125" s="49" t="s">
        <v>33</v>
      </c>
      <c r="K125" s="50">
        <v>79.900000000000006</v>
      </c>
      <c r="L125" s="51">
        <f ca="1">TRUNC((TODAY()-tBase[[#This Row],[Data Nascimento]])/365)</f>
        <v>58</v>
      </c>
      <c r="M125" s="49" t="str">
        <f ca="1">HLOOKUP(tBase[[#This Row],[Idade]],$P$7:$S$8,2,TRUE)</f>
        <v>54-70</v>
      </c>
    </row>
    <row r="126" spans="2:13">
      <c r="B126" s="48">
        <v>68419842651</v>
      </c>
      <c r="C126" s="49" t="s">
        <v>107</v>
      </c>
      <c r="D126" s="49" t="s">
        <v>13</v>
      </c>
      <c r="E126" s="49" t="s">
        <v>56</v>
      </c>
      <c r="F126" s="49" t="s">
        <v>15</v>
      </c>
      <c r="G126" s="49" t="s">
        <v>16</v>
      </c>
      <c r="H126" s="11">
        <v>32037</v>
      </c>
      <c r="I126" s="11" t="s">
        <v>36</v>
      </c>
      <c r="J126" s="49" t="s">
        <v>33</v>
      </c>
      <c r="K126" s="50">
        <v>79.900000000000006</v>
      </c>
      <c r="L126" s="51">
        <f ca="1">TRUNC((TODAY()-tBase[[#This Row],[Data Nascimento]])/365)</f>
        <v>38</v>
      </c>
      <c r="M126" s="49" t="str">
        <f ca="1">HLOOKUP(tBase[[#This Row],[Idade]],$P$7:$S$8,2,TRUE)</f>
        <v>35 - 44</v>
      </c>
    </row>
    <row r="127" spans="2:13">
      <c r="B127" s="48">
        <v>51789418350</v>
      </c>
      <c r="C127" s="49" t="s">
        <v>108</v>
      </c>
      <c r="D127" s="49" t="s">
        <v>13</v>
      </c>
      <c r="E127" s="49" t="s">
        <v>56</v>
      </c>
      <c r="F127" s="49" t="s">
        <v>15</v>
      </c>
      <c r="G127" s="49" t="s">
        <v>16</v>
      </c>
      <c r="H127" s="11">
        <v>30824</v>
      </c>
      <c r="I127" s="11" t="s">
        <v>17</v>
      </c>
      <c r="J127" s="49" t="s">
        <v>41</v>
      </c>
      <c r="K127" s="50">
        <v>29.9</v>
      </c>
      <c r="L127" s="51">
        <f ca="1">TRUNC((TODAY()-tBase[[#This Row],[Data Nascimento]])/365)</f>
        <v>41</v>
      </c>
      <c r="M127" s="49" t="str">
        <f ca="1">HLOOKUP(tBase[[#This Row],[Idade]],$P$7:$S$8,2,TRUE)</f>
        <v>35 - 44</v>
      </c>
    </row>
    <row r="128" spans="2:13">
      <c r="B128" s="48">
        <v>95305432346</v>
      </c>
      <c r="C128" s="49" t="s">
        <v>108</v>
      </c>
      <c r="D128" s="49" t="s">
        <v>13</v>
      </c>
      <c r="E128" s="49" t="s">
        <v>56</v>
      </c>
      <c r="F128" s="49" t="s">
        <v>15</v>
      </c>
      <c r="G128" s="49" t="s">
        <v>16</v>
      </c>
      <c r="H128" s="11">
        <v>27046</v>
      </c>
      <c r="I128" s="11" t="s">
        <v>21</v>
      </c>
      <c r="J128" s="49" t="s">
        <v>41</v>
      </c>
      <c r="K128" s="50">
        <v>29.9</v>
      </c>
      <c r="L128" s="51">
        <f ca="1">TRUNC((TODAY()-tBase[[#This Row],[Data Nascimento]])/365)</f>
        <v>52</v>
      </c>
      <c r="M128" s="49" t="str">
        <f ca="1">HLOOKUP(tBase[[#This Row],[Idade]],$P$7:$S$8,2,TRUE)</f>
        <v>44 - 54</v>
      </c>
    </row>
    <row r="129" spans="2:13">
      <c r="B129" s="48">
        <v>38165951942</v>
      </c>
      <c r="C129" s="49" t="s">
        <v>109</v>
      </c>
      <c r="D129" s="49" t="s">
        <v>13</v>
      </c>
      <c r="E129" s="49" t="s">
        <v>56</v>
      </c>
      <c r="F129" s="49" t="s">
        <v>59</v>
      </c>
      <c r="G129" s="49" t="s">
        <v>16</v>
      </c>
      <c r="H129" s="11">
        <v>26914</v>
      </c>
      <c r="I129" s="11" t="s">
        <v>46</v>
      </c>
      <c r="J129" s="49" t="s">
        <v>44</v>
      </c>
      <c r="K129" s="50">
        <v>35.9</v>
      </c>
      <c r="L129" s="51">
        <f ca="1">TRUNC((TODAY()-tBase[[#This Row],[Data Nascimento]])/365)</f>
        <v>52</v>
      </c>
      <c r="M129" s="49" t="str">
        <f ca="1">HLOOKUP(tBase[[#This Row],[Idade]],$P$7:$S$8,2,TRUE)</f>
        <v>44 - 54</v>
      </c>
    </row>
    <row r="130" spans="2:13">
      <c r="B130" s="48">
        <v>47372471507</v>
      </c>
      <c r="C130" s="49" t="s">
        <v>110</v>
      </c>
      <c r="D130" s="49" t="s">
        <v>13</v>
      </c>
      <c r="E130" s="49" t="s">
        <v>56</v>
      </c>
      <c r="F130" s="49" t="s">
        <v>59</v>
      </c>
      <c r="G130" s="49" t="s">
        <v>52</v>
      </c>
      <c r="H130" s="11">
        <v>21726</v>
      </c>
      <c r="I130" s="11" t="s">
        <v>17</v>
      </c>
      <c r="J130" s="49" t="s">
        <v>33</v>
      </c>
      <c r="K130" s="50">
        <v>79.900000000000006</v>
      </c>
      <c r="L130" s="51">
        <f ca="1">TRUNC((TODAY()-tBase[[#This Row],[Data Nascimento]])/365)</f>
        <v>66</v>
      </c>
      <c r="M130" s="49" t="str">
        <f ca="1">HLOOKUP(tBase[[#This Row],[Idade]],$P$7:$S$8,2,TRUE)</f>
        <v>54-70</v>
      </c>
    </row>
    <row r="131" spans="2:13">
      <c r="B131" s="48">
        <v>92768661715</v>
      </c>
      <c r="C131" s="49" t="s">
        <v>110</v>
      </c>
      <c r="D131" s="49" t="s">
        <v>13</v>
      </c>
      <c r="E131" s="49" t="s">
        <v>56</v>
      </c>
      <c r="F131" s="49" t="s">
        <v>59</v>
      </c>
      <c r="G131" s="49" t="s">
        <v>52</v>
      </c>
      <c r="H131" s="11">
        <v>31078</v>
      </c>
      <c r="I131" s="11" t="s">
        <v>17</v>
      </c>
      <c r="J131" s="49" t="s">
        <v>33</v>
      </c>
      <c r="K131" s="50">
        <v>79.900000000000006</v>
      </c>
      <c r="L131" s="51">
        <f ca="1">TRUNC((TODAY()-tBase[[#This Row],[Data Nascimento]])/365)</f>
        <v>41</v>
      </c>
      <c r="M131" s="49" t="str">
        <f ca="1">HLOOKUP(tBase[[#This Row],[Idade]],$P$7:$S$8,2,TRUE)</f>
        <v>35 - 44</v>
      </c>
    </row>
    <row r="132" spans="2:13">
      <c r="B132" s="48">
        <v>41038445189</v>
      </c>
      <c r="C132" s="49" t="s">
        <v>111</v>
      </c>
      <c r="D132" s="49" t="s">
        <v>13</v>
      </c>
      <c r="E132" s="49" t="s">
        <v>56</v>
      </c>
      <c r="F132" s="49" t="s">
        <v>31</v>
      </c>
      <c r="G132" s="49" t="s">
        <v>32</v>
      </c>
      <c r="H132" s="11">
        <v>30962</v>
      </c>
      <c r="I132" s="11" t="s">
        <v>21</v>
      </c>
      <c r="J132" s="49" t="s">
        <v>33</v>
      </c>
      <c r="K132" s="50">
        <v>79.900000000000006</v>
      </c>
      <c r="L132" s="51">
        <f ca="1">TRUNC((TODAY()-tBase[[#This Row],[Data Nascimento]])/365)</f>
        <v>41</v>
      </c>
      <c r="M132" s="49" t="str">
        <f ca="1">HLOOKUP(tBase[[#This Row],[Idade]],$P$7:$S$8,2,TRUE)</f>
        <v>35 - 44</v>
      </c>
    </row>
    <row r="133" spans="2:13">
      <c r="B133" s="48">
        <v>53741571286</v>
      </c>
      <c r="C133" s="49" t="s">
        <v>111</v>
      </c>
      <c r="D133" s="49" t="s">
        <v>13</v>
      </c>
      <c r="E133" s="49" t="s">
        <v>56</v>
      </c>
      <c r="F133" s="49" t="s">
        <v>31</v>
      </c>
      <c r="G133" s="49" t="s">
        <v>32</v>
      </c>
      <c r="H133" s="11">
        <v>35171</v>
      </c>
      <c r="I133" s="11" t="s">
        <v>17</v>
      </c>
      <c r="J133" s="49" t="s">
        <v>33</v>
      </c>
      <c r="K133" s="50">
        <v>79.900000000000006</v>
      </c>
      <c r="L133" s="51">
        <f ca="1">TRUNC((TODAY()-tBase[[#This Row],[Data Nascimento]])/365)</f>
        <v>29</v>
      </c>
      <c r="M133" s="49" t="str">
        <f ca="1">HLOOKUP(tBase[[#This Row],[Idade]],$P$7:$S$8,2,TRUE)</f>
        <v>24-34</v>
      </c>
    </row>
    <row r="134" spans="2:13">
      <c r="B134" s="48">
        <v>42460611185</v>
      </c>
      <c r="C134" s="49" t="s">
        <v>112</v>
      </c>
      <c r="D134" s="49" t="s">
        <v>13</v>
      </c>
      <c r="E134" s="49" t="s">
        <v>56</v>
      </c>
      <c r="F134" s="49" t="s">
        <v>40</v>
      </c>
      <c r="G134" s="49" t="s">
        <v>16</v>
      </c>
      <c r="H134" s="11">
        <v>24908</v>
      </c>
      <c r="I134" s="11" t="s">
        <v>54</v>
      </c>
      <c r="J134" s="49" t="s">
        <v>41</v>
      </c>
      <c r="K134" s="50">
        <v>29.9</v>
      </c>
      <c r="L134" s="51">
        <f ca="1">TRUNC((TODAY()-tBase[[#This Row],[Data Nascimento]])/365)</f>
        <v>58</v>
      </c>
      <c r="M134" s="49" t="str">
        <f ca="1">HLOOKUP(tBase[[#This Row],[Idade]],$P$7:$S$8,2,TRUE)</f>
        <v>54-70</v>
      </c>
    </row>
    <row r="135" spans="2:13">
      <c r="B135" s="48">
        <v>45190223661</v>
      </c>
      <c r="C135" s="49" t="s">
        <v>112</v>
      </c>
      <c r="D135" s="49" t="s">
        <v>13</v>
      </c>
      <c r="E135" s="49" t="s">
        <v>56</v>
      </c>
      <c r="F135" s="49" t="s">
        <v>40</v>
      </c>
      <c r="G135" s="49" t="s">
        <v>16</v>
      </c>
      <c r="H135" s="11">
        <v>24657</v>
      </c>
      <c r="I135" s="11" t="s">
        <v>17</v>
      </c>
      <c r="J135" s="49" t="s">
        <v>41</v>
      </c>
      <c r="K135" s="50">
        <v>29.9</v>
      </c>
      <c r="L135" s="51">
        <f ca="1">TRUNC((TODAY()-tBase[[#This Row],[Data Nascimento]])/365)</f>
        <v>58</v>
      </c>
      <c r="M135" s="49" t="str">
        <f ca="1">HLOOKUP(tBase[[#This Row],[Idade]],$P$7:$S$8,2,TRUE)</f>
        <v>54-70</v>
      </c>
    </row>
    <row r="136" spans="2:13">
      <c r="B136" s="48">
        <v>45953823152</v>
      </c>
      <c r="C136" s="49" t="s">
        <v>113</v>
      </c>
      <c r="D136" s="49" t="s">
        <v>13</v>
      </c>
      <c r="E136" s="49" t="s">
        <v>56</v>
      </c>
      <c r="F136" s="49" t="s">
        <v>38</v>
      </c>
      <c r="G136" s="49" t="s">
        <v>16</v>
      </c>
      <c r="H136" s="11">
        <v>23160</v>
      </c>
      <c r="I136" s="11" t="s">
        <v>19</v>
      </c>
      <c r="J136" s="49" t="s">
        <v>44</v>
      </c>
      <c r="K136" s="50">
        <v>35.9</v>
      </c>
      <c r="L136" s="51">
        <f ca="1">TRUNC((TODAY()-tBase[[#This Row],[Data Nascimento]])/365)</f>
        <v>62</v>
      </c>
      <c r="M136" s="49" t="str">
        <f ca="1">HLOOKUP(tBase[[#This Row],[Idade]],$P$7:$S$8,2,TRUE)</f>
        <v>54-70</v>
      </c>
    </row>
    <row r="137" spans="2:13">
      <c r="B137" s="48">
        <v>85880197310</v>
      </c>
      <c r="C137" s="49" t="s">
        <v>113</v>
      </c>
      <c r="D137" s="49" t="s">
        <v>13</v>
      </c>
      <c r="E137" s="49" t="s">
        <v>56</v>
      </c>
      <c r="F137" s="49" t="s">
        <v>38</v>
      </c>
      <c r="G137" s="49" t="s">
        <v>16</v>
      </c>
      <c r="H137" s="11">
        <v>28279</v>
      </c>
      <c r="I137" s="11" t="s">
        <v>17</v>
      </c>
      <c r="J137" s="49" t="s">
        <v>44</v>
      </c>
      <c r="K137" s="50">
        <v>35.9</v>
      </c>
      <c r="L137" s="51">
        <f ca="1">TRUNC((TODAY()-tBase[[#This Row],[Data Nascimento]])/365)</f>
        <v>48</v>
      </c>
      <c r="M137" s="49" t="str">
        <f ca="1">HLOOKUP(tBase[[#This Row],[Idade]],$P$7:$S$8,2,TRUE)</f>
        <v>44 - 54</v>
      </c>
    </row>
    <row r="138" spans="2:13">
      <c r="B138" s="48">
        <v>49479547341</v>
      </c>
      <c r="C138" s="49" t="s">
        <v>114</v>
      </c>
      <c r="D138" s="49" t="s">
        <v>13</v>
      </c>
      <c r="E138" s="49" t="s">
        <v>56</v>
      </c>
      <c r="F138" s="49" t="s">
        <v>31</v>
      </c>
      <c r="G138" s="49" t="s">
        <v>32</v>
      </c>
      <c r="H138" s="11">
        <v>23262</v>
      </c>
      <c r="I138" s="11" t="s">
        <v>19</v>
      </c>
      <c r="J138" s="49" t="s">
        <v>33</v>
      </c>
      <c r="K138" s="50">
        <v>79.900000000000006</v>
      </c>
      <c r="L138" s="51">
        <f ca="1">TRUNC((TODAY()-tBase[[#This Row],[Data Nascimento]])/365)</f>
        <v>62</v>
      </c>
      <c r="M138" s="49" t="str">
        <f ca="1">HLOOKUP(tBase[[#This Row],[Idade]],$P$7:$S$8,2,TRUE)</f>
        <v>54-70</v>
      </c>
    </row>
    <row r="139" spans="2:13">
      <c r="B139" s="48">
        <v>54839142796</v>
      </c>
      <c r="C139" s="49" t="s">
        <v>114</v>
      </c>
      <c r="D139" s="49" t="s">
        <v>13</v>
      </c>
      <c r="E139" s="49" t="s">
        <v>56</v>
      </c>
      <c r="F139" s="49" t="s">
        <v>31</v>
      </c>
      <c r="G139" s="49" t="s">
        <v>32</v>
      </c>
      <c r="H139" s="11">
        <v>34807</v>
      </c>
      <c r="I139" s="11" t="s">
        <v>17</v>
      </c>
      <c r="J139" s="49" t="s">
        <v>33</v>
      </c>
      <c r="K139" s="50">
        <v>79.900000000000006</v>
      </c>
      <c r="L139" s="51">
        <f ca="1">TRUNC((TODAY()-tBase[[#This Row],[Data Nascimento]])/365)</f>
        <v>30</v>
      </c>
      <c r="M139" s="49" t="str">
        <f ca="1">HLOOKUP(tBase[[#This Row],[Idade]],$P$7:$S$8,2,TRUE)</f>
        <v>24-34</v>
      </c>
    </row>
    <row r="140" spans="2:13">
      <c r="B140" s="48">
        <v>25299040876</v>
      </c>
      <c r="C140" s="49" t="s">
        <v>115</v>
      </c>
      <c r="D140" s="49" t="s">
        <v>13</v>
      </c>
      <c r="E140" s="49" t="s">
        <v>56</v>
      </c>
      <c r="F140" s="49" t="s">
        <v>40</v>
      </c>
      <c r="G140" s="49" t="s">
        <v>16</v>
      </c>
      <c r="H140" s="11">
        <v>22002</v>
      </c>
      <c r="I140" s="11" t="s">
        <v>17</v>
      </c>
      <c r="J140" s="49" t="s">
        <v>18</v>
      </c>
      <c r="K140" s="50">
        <v>9.9</v>
      </c>
      <c r="L140" s="51">
        <f ca="1">TRUNC((TODAY()-tBase[[#This Row],[Data Nascimento]])/365)</f>
        <v>66</v>
      </c>
      <c r="M140" s="49" t="str">
        <f ca="1">HLOOKUP(tBase[[#This Row],[Idade]],$P$7:$S$8,2,TRUE)</f>
        <v>54-70</v>
      </c>
    </row>
    <row r="141" spans="2:13">
      <c r="B141" s="48">
        <v>63430108478</v>
      </c>
      <c r="C141" s="49" t="s">
        <v>115</v>
      </c>
      <c r="D141" s="49" t="s">
        <v>13</v>
      </c>
      <c r="E141" s="49" t="s">
        <v>56</v>
      </c>
      <c r="F141" s="49" t="s">
        <v>40</v>
      </c>
      <c r="G141" s="49" t="s">
        <v>16</v>
      </c>
      <c r="H141" s="11">
        <v>26423</v>
      </c>
      <c r="I141" s="11" t="s">
        <v>17</v>
      </c>
      <c r="J141" s="49" t="s">
        <v>18</v>
      </c>
      <c r="K141" s="50">
        <v>9.9</v>
      </c>
      <c r="L141" s="51">
        <f ca="1">TRUNC((TODAY()-tBase[[#This Row],[Data Nascimento]])/365)</f>
        <v>53</v>
      </c>
      <c r="M141" s="49" t="str">
        <f ca="1">HLOOKUP(tBase[[#This Row],[Idade]],$P$7:$S$8,2,TRUE)</f>
        <v>44 - 54</v>
      </c>
    </row>
    <row r="142" spans="2:13">
      <c r="B142" s="48">
        <v>33614763115</v>
      </c>
      <c r="C142" s="49" t="s">
        <v>116</v>
      </c>
      <c r="D142" s="49" t="s">
        <v>13</v>
      </c>
      <c r="E142" s="49" t="s">
        <v>56</v>
      </c>
      <c r="F142" s="49" t="s">
        <v>40</v>
      </c>
      <c r="G142" s="49" t="s">
        <v>32</v>
      </c>
      <c r="H142" s="11">
        <v>33973</v>
      </c>
      <c r="I142" s="11" t="s">
        <v>17</v>
      </c>
      <c r="J142" s="49" t="s">
        <v>41</v>
      </c>
      <c r="K142" s="50">
        <v>29.9</v>
      </c>
      <c r="L142" s="51">
        <f ca="1">TRUNC((TODAY()-tBase[[#This Row],[Data Nascimento]])/365)</f>
        <v>33</v>
      </c>
      <c r="M142" s="49" t="str">
        <f ca="1">HLOOKUP(tBase[[#This Row],[Idade]],$P$7:$S$8,2,TRUE)</f>
        <v>24-34</v>
      </c>
    </row>
    <row r="143" spans="2:13">
      <c r="B143" s="48">
        <v>79191835030</v>
      </c>
      <c r="C143" s="49" t="s">
        <v>116</v>
      </c>
      <c r="D143" s="49" t="s">
        <v>13</v>
      </c>
      <c r="E143" s="49" t="s">
        <v>56</v>
      </c>
      <c r="F143" s="49" t="s">
        <v>40</v>
      </c>
      <c r="G143" s="49" t="s">
        <v>32</v>
      </c>
      <c r="H143" s="11">
        <v>30664</v>
      </c>
      <c r="I143" s="11" t="s">
        <v>17</v>
      </c>
      <c r="J143" s="49" t="s">
        <v>41</v>
      </c>
      <c r="K143" s="50">
        <v>29.9</v>
      </c>
      <c r="L143" s="51">
        <f ca="1">TRUNC((TODAY()-tBase[[#This Row],[Data Nascimento]])/365)</f>
        <v>42</v>
      </c>
      <c r="M143" s="49" t="str">
        <f ca="1">HLOOKUP(tBase[[#This Row],[Idade]],$P$7:$S$8,2,TRUE)</f>
        <v>35 - 44</v>
      </c>
    </row>
    <row r="144" spans="2:13">
      <c r="B144" s="48">
        <v>22730255729</v>
      </c>
      <c r="C144" s="49" t="s">
        <v>117</v>
      </c>
      <c r="D144" s="49" t="s">
        <v>43</v>
      </c>
      <c r="E144" s="49" t="s">
        <v>56</v>
      </c>
      <c r="F144" s="49" t="s">
        <v>59</v>
      </c>
      <c r="G144" s="49" t="s">
        <v>16</v>
      </c>
      <c r="H144" s="11">
        <v>20633</v>
      </c>
      <c r="I144" s="11" t="s">
        <v>17</v>
      </c>
      <c r="J144" s="49" t="s">
        <v>18</v>
      </c>
      <c r="K144" s="50">
        <v>9.9</v>
      </c>
      <c r="L144" s="51">
        <f ca="1">TRUNC((TODAY()-tBase[[#This Row],[Data Nascimento]])/365)</f>
        <v>69</v>
      </c>
      <c r="M144" s="49" t="str">
        <f ca="1">HLOOKUP(tBase[[#This Row],[Idade]],$P$7:$S$8,2,TRUE)</f>
        <v>54-70</v>
      </c>
    </row>
    <row r="145" spans="2:13">
      <c r="B145" s="48">
        <v>43862516707</v>
      </c>
      <c r="C145" s="49" t="s">
        <v>117</v>
      </c>
      <c r="D145" s="49" t="s">
        <v>43</v>
      </c>
      <c r="E145" s="49" t="s">
        <v>56</v>
      </c>
      <c r="F145" s="49" t="s">
        <v>59</v>
      </c>
      <c r="G145" s="49" t="s">
        <v>16</v>
      </c>
      <c r="H145" s="11">
        <v>25404</v>
      </c>
      <c r="I145" s="11" t="s">
        <v>46</v>
      </c>
      <c r="J145" s="49" t="s">
        <v>18</v>
      </c>
      <c r="K145" s="50">
        <v>9.9</v>
      </c>
      <c r="L145" s="51">
        <f ca="1">TRUNC((TODAY()-tBase[[#This Row],[Data Nascimento]])/365)</f>
        <v>56</v>
      </c>
      <c r="M145" s="49" t="str">
        <f ca="1">HLOOKUP(tBase[[#This Row],[Idade]],$P$7:$S$8,2,TRUE)</f>
        <v>54-70</v>
      </c>
    </row>
    <row r="146" spans="2:13">
      <c r="B146" s="48">
        <v>29416954094</v>
      </c>
      <c r="C146" s="49" t="s">
        <v>118</v>
      </c>
      <c r="D146" s="49" t="s">
        <v>43</v>
      </c>
      <c r="E146" s="49" t="s">
        <v>56</v>
      </c>
      <c r="F146" s="49" t="s">
        <v>15</v>
      </c>
      <c r="G146" s="49" t="s">
        <v>16</v>
      </c>
      <c r="H146" s="11">
        <v>29871</v>
      </c>
      <c r="I146" s="11" t="s">
        <v>19</v>
      </c>
      <c r="J146" s="49" t="s">
        <v>33</v>
      </c>
      <c r="K146" s="50">
        <v>79.900000000000006</v>
      </c>
      <c r="L146" s="51">
        <f ca="1">TRUNC((TODAY()-tBase[[#This Row],[Data Nascimento]])/365)</f>
        <v>44</v>
      </c>
      <c r="M146" s="49" t="str">
        <f ca="1">HLOOKUP(tBase[[#This Row],[Idade]],$P$7:$S$8,2,TRUE)</f>
        <v>44 - 54</v>
      </c>
    </row>
    <row r="147" spans="2:13">
      <c r="B147" s="48">
        <v>50331166214</v>
      </c>
      <c r="C147" s="49" t="s">
        <v>118</v>
      </c>
      <c r="D147" s="49" t="s">
        <v>43</v>
      </c>
      <c r="E147" s="49" t="s">
        <v>56</v>
      </c>
      <c r="F147" s="49" t="s">
        <v>15</v>
      </c>
      <c r="G147" s="49" t="s">
        <v>16</v>
      </c>
      <c r="H147" s="11">
        <v>28253</v>
      </c>
      <c r="I147" s="11" t="s">
        <v>19</v>
      </c>
      <c r="J147" s="49" t="s">
        <v>33</v>
      </c>
      <c r="K147" s="50">
        <v>79.900000000000006</v>
      </c>
      <c r="L147" s="51">
        <f ca="1">TRUNC((TODAY()-tBase[[#This Row],[Data Nascimento]])/365)</f>
        <v>48</v>
      </c>
      <c r="M147" s="49" t="str">
        <f ca="1">HLOOKUP(tBase[[#This Row],[Idade]],$P$7:$S$8,2,TRUE)</f>
        <v>44 - 54</v>
      </c>
    </row>
    <row r="148" spans="2:13">
      <c r="B148" s="48">
        <v>38738606466</v>
      </c>
      <c r="C148" s="49" t="s">
        <v>119</v>
      </c>
      <c r="D148" s="49" t="s">
        <v>43</v>
      </c>
      <c r="E148" s="49" t="s">
        <v>56</v>
      </c>
      <c r="F148" s="49" t="s">
        <v>31</v>
      </c>
      <c r="G148" s="49" t="s">
        <v>16</v>
      </c>
      <c r="H148" s="11">
        <v>35099</v>
      </c>
      <c r="I148" s="11" t="s">
        <v>46</v>
      </c>
      <c r="J148" s="49" t="s">
        <v>33</v>
      </c>
      <c r="K148" s="50">
        <v>79.900000000000006</v>
      </c>
      <c r="L148" s="51">
        <f ca="1">TRUNC((TODAY()-tBase[[#This Row],[Data Nascimento]])/365)</f>
        <v>30</v>
      </c>
      <c r="M148" s="49" t="str">
        <f ca="1">HLOOKUP(tBase[[#This Row],[Idade]],$P$7:$S$8,2,TRUE)</f>
        <v>24-34</v>
      </c>
    </row>
    <row r="149" spans="2:13">
      <c r="B149" s="48">
        <v>28940705644</v>
      </c>
      <c r="C149" s="49" t="s">
        <v>120</v>
      </c>
      <c r="D149" s="49" t="s">
        <v>43</v>
      </c>
      <c r="E149" s="49" t="s">
        <v>56</v>
      </c>
      <c r="F149" s="49" t="s">
        <v>38</v>
      </c>
      <c r="G149" s="49" t="s">
        <v>16</v>
      </c>
      <c r="H149" s="11">
        <v>25527</v>
      </c>
      <c r="I149" s="11" t="s">
        <v>17</v>
      </c>
      <c r="J149" s="49" t="s">
        <v>44</v>
      </c>
      <c r="K149" s="50">
        <v>35.9</v>
      </c>
      <c r="L149" s="51">
        <f ca="1">TRUNC((TODAY()-tBase[[#This Row],[Data Nascimento]])/365)</f>
        <v>56</v>
      </c>
      <c r="M149" s="49" t="str">
        <f ca="1">HLOOKUP(tBase[[#This Row],[Idade]],$P$7:$S$8,2,TRUE)</f>
        <v>54-70</v>
      </c>
    </row>
    <row r="150" spans="2:13">
      <c r="B150" s="48">
        <v>71989553091</v>
      </c>
      <c r="C150" s="49" t="s">
        <v>120</v>
      </c>
      <c r="D150" s="49" t="s">
        <v>43</v>
      </c>
      <c r="E150" s="49" t="s">
        <v>56</v>
      </c>
      <c r="F150" s="49" t="s">
        <v>38</v>
      </c>
      <c r="G150" s="49" t="s">
        <v>16</v>
      </c>
      <c r="H150" s="11">
        <v>23510</v>
      </c>
      <c r="I150" s="11" t="s">
        <v>19</v>
      </c>
      <c r="J150" s="49" t="s">
        <v>44</v>
      </c>
      <c r="K150" s="50">
        <v>35.9</v>
      </c>
      <c r="L150" s="51">
        <f ca="1">TRUNC((TODAY()-tBase[[#This Row],[Data Nascimento]])/365)</f>
        <v>61</v>
      </c>
      <c r="M150" s="49" t="str">
        <f ca="1">HLOOKUP(tBase[[#This Row],[Idade]],$P$7:$S$8,2,TRUE)</f>
        <v>54-70</v>
      </c>
    </row>
    <row r="151" spans="2:13">
      <c r="B151" s="48">
        <v>49733529074</v>
      </c>
      <c r="C151" s="49" t="s">
        <v>121</v>
      </c>
      <c r="D151" s="49" t="s">
        <v>43</v>
      </c>
      <c r="E151" s="49" t="s">
        <v>56</v>
      </c>
      <c r="F151" s="49" t="s">
        <v>59</v>
      </c>
      <c r="G151" s="49" t="s">
        <v>16</v>
      </c>
      <c r="H151" s="11">
        <v>29578</v>
      </c>
      <c r="I151" s="11" t="s">
        <v>17</v>
      </c>
      <c r="J151" s="49" t="s">
        <v>33</v>
      </c>
      <c r="K151" s="50">
        <v>79.900000000000006</v>
      </c>
      <c r="L151" s="51">
        <f ca="1">TRUNC((TODAY()-tBase[[#This Row],[Data Nascimento]])/365)</f>
        <v>45</v>
      </c>
      <c r="M151" s="49" t="str">
        <f ca="1">HLOOKUP(tBase[[#This Row],[Idade]],$P$7:$S$8,2,TRUE)</f>
        <v>44 - 54</v>
      </c>
    </row>
    <row r="152" spans="2:13">
      <c r="B152" s="48">
        <v>73947215075</v>
      </c>
      <c r="C152" s="49" t="s">
        <v>121</v>
      </c>
      <c r="D152" s="49" t="s">
        <v>43</v>
      </c>
      <c r="E152" s="49" t="s">
        <v>56</v>
      </c>
      <c r="F152" s="49" t="s">
        <v>59</v>
      </c>
      <c r="G152" s="49" t="s">
        <v>16</v>
      </c>
      <c r="H152" s="11">
        <v>27917</v>
      </c>
      <c r="I152" s="11" t="s">
        <v>21</v>
      </c>
      <c r="J152" s="49" t="s">
        <v>33</v>
      </c>
      <c r="K152" s="50">
        <v>79.900000000000006</v>
      </c>
      <c r="L152" s="51">
        <f ca="1">TRUNC((TODAY()-tBase[[#This Row],[Data Nascimento]])/365)</f>
        <v>49</v>
      </c>
      <c r="M152" s="49" t="str">
        <f ca="1">HLOOKUP(tBase[[#This Row],[Idade]],$P$7:$S$8,2,TRUE)</f>
        <v>44 - 54</v>
      </c>
    </row>
    <row r="153" spans="2:13">
      <c r="B153" s="48">
        <v>28577291217</v>
      </c>
      <c r="C153" s="49" t="s">
        <v>122</v>
      </c>
      <c r="D153" s="49" t="s">
        <v>43</v>
      </c>
      <c r="E153" s="49" t="s">
        <v>56</v>
      </c>
      <c r="F153" s="49" t="s">
        <v>15</v>
      </c>
      <c r="G153" s="49" t="s">
        <v>16</v>
      </c>
      <c r="H153" s="11">
        <v>30423</v>
      </c>
      <c r="I153" s="11" t="s">
        <v>17</v>
      </c>
      <c r="J153" s="49" t="s">
        <v>41</v>
      </c>
      <c r="K153" s="50">
        <v>29.9</v>
      </c>
      <c r="L153" s="51">
        <f ca="1">TRUNC((TODAY()-tBase[[#This Row],[Data Nascimento]])/365)</f>
        <v>42</v>
      </c>
      <c r="M153" s="49" t="str">
        <f ca="1">HLOOKUP(tBase[[#This Row],[Idade]],$P$7:$S$8,2,TRUE)</f>
        <v>35 - 44</v>
      </c>
    </row>
    <row r="154" spans="2:13">
      <c r="B154" s="48">
        <v>42314907630</v>
      </c>
      <c r="C154" s="49" t="s">
        <v>122</v>
      </c>
      <c r="D154" s="49" t="s">
        <v>43</v>
      </c>
      <c r="E154" s="49" t="s">
        <v>56</v>
      </c>
      <c r="F154" s="49" t="s">
        <v>15</v>
      </c>
      <c r="G154" s="49" t="s">
        <v>16</v>
      </c>
      <c r="H154" s="11">
        <v>31551</v>
      </c>
      <c r="I154" s="11" t="s">
        <v>17</v>
      </c>
      <c r="J154" s="49" t="s">
        <v>41</v>
      </c>
      <c r="K154" s="50">
        <v>29.9</v>
      </c>
      <c r="L154" s="51">
        <f ca="1">TRUNC((TODAY()-tBase[[#This Row],[Data Nascimento]])/365)</f>
        <v>39</v>
      </c>
      <c r="M154" s="49" t="str">
        <f ca="1">HLOOKUP(tBase[[#This Row],[Idade]],$P$7:$S$8,2,TRUE)</f>
        <v>35 - 44</v>
      </c>
    </row>
    <row r="155" spans="2:13">
      <c r="B155" s="48">
        <v>38720204448</v>
      </c>
      <c r="C155" s="49" t="s">
        <v>123</v>
      </c>
      <c r="D155" s="49" t="s">
        <v>43</v>
      </c>
      <c r="E155" s="49" t="s">
        <v>56</v>
      </c>
      <c r="F155" s="49" t="s">
        <v>38</v>
      </c>
      <c r="G155" s="49" t="s">
        <v>16</v>
      </c>
      <c r="H155" s="11">
        <v>30763</v>
      </c>
      <c r="I155" s="11" t="s">
        <v>19</v>
      </c>
      <c r="J155" s="49" t="s">
        <v>44</v>
      </c>
      <c r="K155" s="50">
        <v>35.9</v>
      </c>
      <c r="L155" s="51">
        <f ca="1">TRUNC((TODAY()-tBase[[#This Row],[Data Nascimento]])/365)</f>
        <v>42</v>
      </c>
      <c r="M155" s="49" t="str">
        <f ca="1">HLOOKUP(tBase[[#This Row],[Idade]],$P$7:$S$8,2,TRUE)</f>
        <v>35 - 44</v>
      </c>
    </row>
    <row r="156" spans="2:13">
      <c r="B156" s="48">
        <v>55359798830</v>
      </c>
      <c r="C156" s="49" t="s">
        <v>123</v>
      </c>
      <c r="D156" s="49" t="s">
        <v>43</v>
      </c>
      <c r="E156" s="49" t="s">
        <v>56</v>
      </c>
      <c r="F156" s="49" t="s">
        <v>38</v>
      </c>
      <c r="G156" s="49" t="s">
        <v>16</v>
      </c>
      <c r="H156" s="11">
        <v>29770</v>
      </c>
      <c r="I156" s="11" t="s">
        <v>19</v>
      </c>
      <c r="J156" s="49" t="s">
        <v>44</v>
      </c>
      <c r="K156" s="50">
        <v>35.9</v>
      </c>
      <c r="L156" s="51">
        <f ca="1">TRUNC((TODAY()-tBase[[#This Row],[Data Nascimento]])/365)</f>
        <v>44</v>
      </c>
      <c r="M156" s="49" t="str">
        <f ca="1">HLOOKUP(tBase[[#This Row],[Idade]],$P$7:$S$8,2,TRUE)</f>
        <v>44 - 54</v>
      </c>
    </row>
    <row r="157" spans="2:13">
      <c r="B157" s="48">
        <v>42400046505</v>
      </c>
      <c r="C157" s="49" t="s">
        <v>124</v>
      </c>
      <c r="D157" s="49" t="s">
        <v>43</v>
      </c>
      <c r="E157" s="49" t="s">
        <v>56</v>
      </c>
      <c r="F157" s="49" t="s">
        <v>40</v>
      </c>
      <c r="G157" s="49" t="s">
        <v>16</v>
      </c>
      <c r="H157" s="11">
        <v>27985</v>
      </c>
      <c r="I157" s="11" t="s">
        <v>21</v>
      </c>
      <c r="J157" s="49" t="s">
        <v>41</v>
      </c>
      <c r="K157" s="50">
        <v>29.9</v>
      </c>
      <c r="L157" s="51">
        <f ca="1">TRUNC((TODAY()-tBase[[#This Row],[Data Nascimento]])/365)</f>
        <v>49</v>
      </c>
      <c r="M157" s="49" t="str">
        <f ca="1">HLOOKUP(tBase[[#This Row],[Idade]],$P$7:$S$8,2,TRUE)</f>
        <v>44 - 54</v>
      </c>
    </row>
    <row r="158" spans="2:13">
      <c r="B158" s="48">
        <v>98384039664</v>
      </c>
      <c r="C158" s="49" t="s">
        <v>124</v>
      </c>
      <c r="D158" s="49" t="s">
        <v>43</v>
      </c>
      <c r="E158" s="49" t="s">
        <v>56</v>
      </c>
      <c r="F158" s="49" t="s">
        <v>40</v>
      </c>
      <c r="G158" s="49" t="s">
        <v>16</v>
      </c>
      <c r="H158" s="11">
        <v>35468</v>
      </c>
      <c r="I158" s="11" t="s">
        <v>19</v>
      </c>
      <c r="J158" s="49" t="s">
        <v>41</v>
      </c>
      <c r="K158" s="50">
        <v>29.9</v>
      </c>
      <c r="L158" s="51">
        <f ca="1">TRUNC((TODAY()-tBase[[#This Row],[Data Nascimento]])/365)</f>
        <v>29</v>
      </c>
      <c r="M158" s="49" t="str">
        <f ca="1">HLOOKUP(tBase[[#This Row],[Idade]],$P$7:$S$8,2,TRUE)</f>
        <v>24-34</v>
      </c>
    </row>
    <row r="159" spans="2:13">
      <c r="B159" s="48">
        <v>42110059785</v>
      </c>
      <c r="C159" s="49" t="s">
        <v>125</v>
      </c>
      <c r="D159" s="49" t="s">
        <v>43</v>
      </c>
      <c r="E159" s="49" t="s">
        <v>56</v>
      </c>
      <c r="F159" s="49" t="s">
        <v>15</v>
      </c>
      <c r="G159" s="49" t="s">
        <v>16</v>
      </c>
      <c r="H159" s="11">
        <v>28974</v>
      </c>
      <c r="I159" s="11" t="s">
        <v>17</v>
      </c>
      <c r="J159" s="49" t="s">
        <v>41</v>
      </c>
      <c r="K159" s="50">
        <v>29.9</v>
      </c>
      <c r="L159" s="51">
        <f ca="1">TRUNC((TODAY()-tBase[[#This Row],[Data Nascimento]])/365)</f>
        <v>46</v>
      </c>
      <c r="M159" s="49" t="str">
        <f ca="1">HLOOKUP(tBase[[#This Row],[Idade]],$P$7:$S$8,2,TRUE)</f>
        <v>44 - 54</v>
      </c>
    </row>
    <row r="160" spans="2:13">
      <c r="B160" s="48">
        <v>81389193399</v>
      </c>
      <c r="C160" s="49" t="s">
        <v>125</v>
      </c>
      <c r="D160" s="49" t="s">
        <v>43</v>
      </c>
      <c r="E160" s="49" t="s">
        <v>56</v>
      </c>
      <c r="F160" s="49" t="s">
        <v>15</v>
      </c>
      <c r="G160" s="49" t="s">
        <v>16</v>
      </c>
      <c r="H160" s="11">
        <v>29115</v>
      </c>
      <c r="I160" s="11" t="s">
        <v>19</v>
      </c>
      <c r="J160" s="49" t="s">
        <v>41</v>
      </c>
      <c r="K160" s="50">
        <v>29.9</v>
      </c>
      <c r="L160" s="51">
        <f ca="1">TRUNC((TODAY()-tBase[[#This Row],[Data Nascimento]])/365)</f>
        <v>46</v>
      </c>
      <c r="M160" s="49" t="str">
        <f ca="1">HLOOKUP(tBase[[#This Row],[Idade]],$P$7:$S$8,2,TRUE)</f>
        <v>44 - 54</v>
      </c>
    </row>
    <row r="161" spans="2:13">
      <c r="B161" s="48">
        <v>30571772130</v>
      </c>
      <c r="C161" s="49" t="s">
        <v>126</v>
      </c>
      <c r="D161" s="49" t="s">
        <v>43</v>
      </c>
      <c r="E161" s="49" t="s">
        <v>56</v>
      </c>
      <c r="F161" s="49" t="s">
        <v>59</v>
      </c>
      <c r="G161" s="49" t="s">
        <v>52</v>
      </c>
      <c r="H161" s="11">
        <v>34891</v>
      </c>
      <c r="I161" s="11" t="s">
        <v>19</v>
      </c>
      <c r="J161" s="49" t="s">
        <v>33</v>
      </c>
      <c r="K161" s="50">
        <v>79.900000000000006</v>
      </c>
      <c r="L161" s="51">
        <f ca="1">TRUNC((TODAY()-tBase[[#This Row],[Data Nascimento]])/365)</f>
        <v>30</v>
      </c>
      <c r="M161" s="49" t="str">
        <f ca="1">HLOOKUP(tBase[[#This Row],[Idade]],$P$7:$S$8,2,TRUE)</f>
        <v>24-34</v>
      </c>
    </row>
    <row r="162" spans="2:13">
      <c r="B162" s="48">
        <v>60183693472</v>
      </c>
      <c r="C162" s="49" t="s">
        <v>126</v>
      </c>
      <c r="D162" s="49" t="s">
        <v>43</v>
      </c>
      <c r="E162" s="49" t="s">
        <v>56</v>
      </c>
      <c r="F162" s="49" t="s">
        <v>59</v>
      </c>
      <c r="G162" s="49" t="s">
        <v>52</v>
      </c>
      <c r="H162" s="11">
        <v>30797</v>
      </c>
      <c r="I162" s="11" t="s">
        <v>21</v>
      </c>
      <c r="J162" s="49" t="s">
        <v>33</v>
      </c>
      <c r="K162" s="50">
        <v>79.900000000000006</v>
      </c>
      <c r="L162" s="51">
        <f ca="1">TRUNC((TODAY()-tBase[[#This Row],[Data Nascimento]])/365)</f>
        <v>41</v>
      </c>
      <c r="M162" s="49" t="str">
        <f ca="1">HLOOKUP(tBase[[#This Row],[Idade]],$P$7:$S$8,2,TRUE)</f>
        <v>35 - 44</v>
      </c>
    </row>
    <row r="163" spans="2:13">
      <c r="B163" s="48">
        <v>40955062884</v>
      </c>
      <c r="C163" s="49" t="s">
        <v>127</v>
      </c>
      <c r="D163" s="49" t="s">
        <v>43</v>
      </c>
      <c r="E163" s="49" t="s">
        <v>56</v>
      </c>
      <c r="F163" s="49" t="s">
        <v>15</v>
      </c>
      <c r="G163" s="49" t="s">
        <v>16</v>
      </c>
      <c r="H163" s="11">
        <v>33976</v>
      </c>
      <c r="I163" s="11" t="s">
        <v>46</v>
      </c>
      <c r="J163" s="49" t="s">
        <v>33</v>
      </c>
      <c r="K163" s="50">
        <v>79.900000000000006</v>
      </c>
      <c r="L163" s="51">
        <f ca="1">TRUNC((TODAY()-tBase[[#This Row],[Data Nascimento]])/365)</f>
        <v>33</v>
      </c>
      <c r="M163" s="49" t="str">
        <f ca="1">HLOOKUP(tBase[[#This Row],[Idade]],$P$7:$S$8,2,TRUE)</f>
        <v>24-34</v>
      </c>
    </row>
    <row r="164" spans="2:13">
      <c r="B164" s="48">
        <v>95717759227</v>
      </c>
      <c r="C164" s="49" t="s">
        <v>127</v>
      </c>
      <c r="D164" s="49" t="s">
        <v>43</v>
      </c>
      <c r="E164" s="49" t="s">
        <v>56</v>
      </c>
      <c r="F164" s="49" t="s">
        <v>15</v>
      </c>
      <c r="G164" s="49" t="s">
        <v>32</v>
      </c>
      <c r="H164" s="11">
        <v>31254</v>
      </c>
      <c r="I164" s="11" t="s">
        <v>36</v>
      </c>
      <c r="J164" s="49" t="s">
        <v>33</v>
      </c>
      <c r="K164" s="50">
        <v>79.900000000000006</v>
      </c>
      <c r="L164" s="51">
        <f ca="1">TRUNC((TODAY()-tBase[[#This Row],[Data Nascimento]])/365)</f>
        <v>40</v>
      </c>
      <c r="M164" s="49" t="str">
        <f ca="1">HLOOKUP(tBase[[#This Row],[Idade]],$P$7:$S$8,2,TRUE)</f>
        <v>35 - 44</v>
      </c>
    </row>
    <row r="165" spans="2:13">
      <c r="B165" s="48">
        <v>43245355006</v>
      </c>
      <c r="C165" s="49" t="s">
        <v>128</v>
      </c>
      <c r="D165" s="49" t="s">
        <v>43</v>
      </c>
      <c r="E165" s="49" t="s">
        <v>56</v>
      </c>
      <c r="F165" s="49" t="s">
        <v>15</v>
      </c>
      <c r="G165" s="49" t="s">
        <v>16</v>
      </c>
      <c r="H165" s="11">
        <v>34539</v>
      </c>
      <c r="I165" s="11" t="s">
        <v>17</v>
      </c>
      <c r="J165" s="49" t="s">
        <v>44</v>
      </c>
      <c r="K165" s="50">
        <v>35.9</v>
      </c>
      <c r="L165" s="51">
        <f ca="1">TRUNC((TODAY()-tBase[[#This Row],[Data Nascimento]])/365)</f>
        <v>31</v>
      </c>
      <c r="M165" s="49" t="str">
        <f ca="1">HLOOKUP(tBase[[#This Row],[Idade]],$P$7:$S$8,2,TRUE)</f>
        <v>24-34</v>
      </c>
    </row>
    <row r="166" spans="2:13">
      <c r="B166" s="48">
        <v>89438414320</v>
      </c>
      <c r="C166" s="49" t="s">
        <v>128</v>
      </c>
      <c r="D166" s="49" t="s">
        <v>43</v>
      </c>
      <c r="E166" s="49" t="s">
        <v>56</v>
      </c>
      <c r="F166" s="49" t="s">
        <v>15</v>
      </c>
      <c r="G166" s="49" t="s">
        <v>16</v>
      </c>
      <c r="H166" s="11">
        <v>35596</v>
      </c>
      <c r="I166" s="11" t="s">
        <v>72</v>
      </c>
      <c r="J166" s="49" t="s">
        <v>44</v>
      </c>
      <c r="K166" s="50">
        <v>35.9</v>
      </c>
      <c r="L166" s="51">
        <f ca="1">TRUNC((TODAY()-tBase[[#This Row],[Data Nascimento]])/365)</f>
        <v>28</v>
      </c>
      <c r="M166" s="49" t="str">
        <f ca="1">HLOOKUP(tBase[[#This Row],[Idade]],$P$7:$S$8,2,TRUE)</f>
        <v>24-34</v>
      </c>
    </row>
    <row r="167" spans="2:13">
      <c r="B167" s="48">
        <v>25770108240</v>
      </c>
      <c r="C167" s="49" t="s">
        <v>129</v>
      </c>
      <c r="D167" s="49" t="s">
        <v>43</v>
      </c>
      <c r="E167" s="49" t="s">
        <v>56</v>
      </c>
      <c r="F167" s="49" t="s">
        <v>38</v>
      </c>
      <c r="G167" s="49" t="s">
        <v>16</v>
      </c>
      <c r="H167" s="11">
        <v>30937</v>
      </c>
      <c r="I167" s="11" t="s">
        <v>17</v>
      </c>
      <c r="J167" s="49" t="s">
        <v>18</v>
      </c>
      <c r="K167" s="50">
        <v>9.9</v>
      </c>
      <c r="L167" s="51">
        <f ca="1">TRUNC((TODAY()-tBase[[#This Row],[Data Nascimento]])/365)</f>
        <v>41</v>
      </c>
      <c r="M167" s="49" t="str">
        <f ca="1">HLOOKUP(tBase[[#This Row],[Idade]],$P$7:$S$8,2,TRUE)</f>
        <v>35 - 44</v>
      </c>
    </row>
    <row r="168" spans="2:13">
      <c r="B168" s="48">
        <v>89961852342</v>
      </c>
      <c r="C168" s="49" t="s">
        <v>129</v>
      </c>
      <c r="D168" s="49" t="s">
        <v>43</v>
      </c>
      <c r="E168" s="49" t="s">
        <v>56</v>
      </c>
      <c r="F168" s="49" t="s">
        <v>38</v>
      </c>
      <c r="G168" s="49" t="s">
        <v>16</v>
      </c>
      <c r="H168" s="11">
        <v>29447</v>
      </c>
      <c r="I168" s="11" t="s">
        <v>19</v>
      </c>
      <c r="J168" s="49" t="s">
        <v>18</v>
      </c>
      <c r="K168" s="50">
        <v>9.9</v>
      </c>
      <c r="L168" s="51">
        <f ca="1">TRUNC((TODAY()-tBase[[#This Row],[Data Nascimento]])/365)</f>
        <v>45</v>
      </c>
      <c r="M168" s="49" t="str">
        <f ca="1">HLOOKUP(tBase[[#This Row],[Idade]],$P$7:$S$8,2,TRUE)</f>
        <v>44 - 54</v>
      </c>
    </row>
    <row r="169" spans="2:13">
      <c r="B169" s="48">
        <v>49859929846</v>
      </c>
      <c r="C169" s="49" t="s">
        <v>130</v>
      </c>
      <c r="D169" s="49" t="s">
        <v>43</v>
      </c>
      <c r="E169" s="49" t="s">
        <v>56</v>
      </c>
      <c r="F169" s="49" t="s">
        <v>38</v>
      </c>
      <c r="G169" s="49" t="s">
        <v>16</v>
      </c>
      <c r="H169" s="11">
        <v>33468</v>
      </c>
      <c r="I169" s="11" t="s">
        <v>17</v>
      </c>
      <c r="J169" s="49" t="s">
        <v>18</v>
      </c>
      <c r="K169" s="50">
        <v>9.9</v>
      </c>
      <c r="L169" s="51">
        <f ca="1">TRUNC((TODAY()-tBase[[#This Row],[Data Nascimento]])/365)</f>
        <v>34</v>
      </c>
      <c r="M169" s="49" t="str">
        <f ca="1">HLOOKUP(tBase[[#This Row],[Idade]],$P$7:$S$8,2,TRUE)</f>
        <v>24-34</v>
      </c>
    </row>
    <row r="170" spans="2:13">
      <c r="B170" s="48">
        <v>57592799094</v>
      </c>
      <c r="C170" s="49" t="s">
        <v>130</v>
      </c>
      <c r="D170" s="49" t="s">
        <v>43</v>
      </c>
      <c r="E170" s="49" t="s">
        <v>56</v>
      </c>
      <c r="F170" s="49" t="s">
        <v>38</v>
      </c>
      <c r="G170" s="49" t="s">
        <v>16</v>
      </c>
      <c r="H170" s="11">
        <v>28813</v>
      </c>
      <c r="I170" s="11" t="s">
        <v>46</v>
      </c>
      <c r="J170" s="49" t="s">
        <v>18</v>
      </c>
      <c r="K170" s="50">
        <v>9.9</v>
      </c>
      <c r="L170" s="51">
        <f ca="1">TRUNC((TODAY()-tBase[[#This Row],[Data Nascimento]])/365)</f>
        <v>47</v>
      </c>
      <c r="M170" s="49" t="str">
        <f ca="1">HLOOKUP(tBase[[#This Row],[Idade]],$P$7:$S$8,2,TRUE)</f>
        <v>44 - 54</v>
      </c>
    </row>
    <row r="171" spans="2:13">
      <c r="B171" s="48">
        <v>42658139379</v>
      </c>
      <c r="C171" s="49" t="s">
        <v>131</v>
      </c>
      <c r="D171" s="49" t="s">
        <v>43</v>
      </c>
      <c r="E171" s="49" t="s">
        <v>56</v>
      </c>
      <c r="F171" s="49" t="s">
        <v>31</v>
      </c>
      <c r="G171" s="49" t="s">
        <v>16</v>
      </c>
      <c r="H171" s="11">
        <v>32770</v>
      </c>
      <c r="I171" s="11" t="s">
        <v>72</v>
      </c>
      <c r="J171" s="49" t="s">
        <v>33</v>
      </c>
      <c r="K171" s="50">
        <v>79.900000000000006</v>
      </c>
      <c r="L171" s="51">
        <f ca="1">TRUNC((TODAY()-tBase[[#This Row],[Data Nascimento]])/365)</f>
        <v>36</v>
      </c>
      <c r="M171" s="49" t="str">
        <f ca="1">HLOOKUP(tBase[[#This Row],[Idade]],$P$7:$S$8,2,TRUE)</f>
        <v>35 - 44</v>
      </c>
    </row>
    <row r="172" spans="2:13">
      <c r="B172" s="48">
        <v>83212266867</v>
      </c>
      <c r="C172" s="49" t="s">
        <v>131</v>
      </c>
      <c r="D172" s="49" t="s">
        <v>43</v>
      </c>
      <c r="E172" s="49" t="s">
        <v>56</v>
      </c>
      <c r="F172" s="49" t="s">
        <v>31</v>
      </c>
      <c r="G172" s="49" t="s">
        <v>16</v>
      </c>
      <c r="H172" s="11">
        <v>30196</v>
      </c>
      <c r="I172" s="11" t="s">
        <v>46</v>
      </c>
      <c r="J172" s="49" t="s">
        <v>33</v>
      </c>
      <c r="K172" s="50">
        <v>79.900000000000006</v>
      </c>
      <c r="L172" s="51">
        <f ca="1">TRUNC((TODAY()-tBase[[#This Row],[Data Nascimento]])/365)</f>
        <v>43</v>
      </c>
      <c r="M172" s="49" t="str">
        <f ca="1">HLOOKUP(tBase[[#This Row],[Idade]],$P$7:$S$8,2,TRUE)</f>
        <v>35 - 44</v>
      </c>
    </row>
    <row r="173" spans="2:13">
      <c r="B173" s="48">
        <v>31969357318</v>
      </c>
      <c r="C173" s="49" t="s">
        <v>132</v>
      </c>
      <c r="D173" s="49" t="s">
        <v>43</v>
      </c>
      <c r="E173" s="49" t="s">
        <v>56</v>
      </c>
      <c r="F173" s="49" t="s">
        <v>40</v>
      </c>
      <c r="G173" s="49" t="s">
        <v>32</v>
      </c>
      <c r="H173" s="11">
        <v>23232</v>
      </c>
      <c r="I173" s="11" t="s">
        <v>19</v>
      </c>
      <c r="J173" s="49" t="s">
        <v>41</v>
      </c>
      <c r="K173" s="50">
        <v>29.9</v>
      </c>
      <c r="L173" s="51">
        <f ca="1">TRUNC((TODAY()-tBase[[#This Row],[Data Nascimento]])/365)</f>
        <v>62</v>
      </c>
      <c r="M173" s="49" t="str">
        <f ca="1">HLOOKUP(tBase[[#This Row],[Idade]],$P$7:$S$8,2,TRUE)</f>
        <v>54-70</v>
      </c>
    </row>
    <row r="174" spans="2:13">
      <c r="B174" s="48">
        <v>69020558638</v>
      </c>
      <c r="C174" s="49" t="s">
        <v>132</v>
      </c>
      <c r="D174" s="49" t="s">
        <v>43</v>
      </c>
      <c r="E174" s="49" t="s">
        <v>56</v>
      </c>
      <c r="F174" s="49" t="s">
        <v>40</v>
      </c>
      <c r="G174" s="49" t="s">
        <v>32</v>
      </c>
      <c r="H174" s="11">
        <v>30488</v>
      </c>
      <c r="I174" s="11" t="s">
        <v>46</v>
      </c>
      <c r="J174" s="49" t="s">
        <v>41</v>
      </c>
      <c r="K174" s="50">
        <v>29.9</v>
      </c>
      <c r="L174" s="51">
        <f ca="1">TRUNC((TODAY()-tBase[[#This Row],[Data Nascimento]])/365)</f>
        <v>42</v>
      </c>
      <c r="M174" s="49" t="str">
        <f ca="1">HLOOKUP(tBase[[#This Row],[Idade]],$P$7:$S$8,2,TRUE)</f>
        <v>35 - 44</v>
      </c>
    </row>
    <row r="175" spans="2:13">
      <c r="B175" s="48">
        <v>39217268673</v>
      </c>
      <c r="C175" s="49" t="s">
        <v>133</v>
      </c>
      <c r="D175" s="49" t="s">
        <v>43</v>
      </c>
      <c r="E175" s="49" t="s">
        <v>56</v>
      </c>
      <c r="F175" s="49" t="s">
        <v>59</v>
      </c>
      <c r="G175" s="49" t="s">
        <v>52</v>
      </c>
      <c r="H175" s="11">
        <v>23872</v>
      </c>
      <c r="I175" s="11" t="s">
        <v>17</v>
      </c>
      <c r="J175" s="49" t="s">
        <v>33</v>
      </c>
      <c r="K175" s="50">
        <v>79.900000000000006</v>
      </c>
      <c r="L175" s="51">
        <f ca="1">TRUNC((TODAY()-tBase[[#This Row],[Data Nascimento]])/365)</f>
        <v>60</v>
      </c>
      <c r="M175" s="49" t="str">
        <f ca="1">HLOOKUP(tBase[[#This Row],[Idade]],$P$7:$S$8,2,TRUE)</f>
        <v>54-70</v>
      </c>
    </row>
    <row r="176" spans="2:13">
      <c r="B176" s="48">
        <v>52607015603</v>
      </c>
      <c r="C176" s="49" t="s">
        <v>133</v>
      </c>
      <c r="D176" s="49" t="s">
        <v>43</v>
      </c>
      <c r="E176" s="49" t="s">
        <v>56</v>
      </c>
      <c r="F176" s="49" t="s">
        <v>59</v>
      </c>
      <c r="G176" s="49" t="s">
        <v>52</v>
      </c>
      <c r="H176" s="11">
        <v>27830</v>
      </c>
      <c r="I176" s="11" t="s">
        <v>17</v>
      </c>
      <c r="J176" s="49" t="s">
        <v>33</v>
      </c>
      <c r="K176" s="50">
        <v>79.900000000000006</v>
      </c>
      <c r="L176" s="51">
        <f ca="1">TRUNC((TODAY()-tBase[[#This Row],[Data Nascimento]])/365)</f>
        <v>50</v>
      </c>
      <c r="M176" s="49" t="str">
        <f ca="1">HLOOKUP(tBase[[#This Row],[Idade]],$P$7:$S$8,2,TRUE)</f>
        <v>44 - 54</v>
      </c>
    </row>
    <row r="177" spans="2:13">
      <c r="B177" s="48">
        <v>41369590305</v>
      </c>
      <c r="C177" s="49" t="s">
        <v>134</v>
      </c>
      <c r="D177" s="49" t="s">
        <v>43</v>
      </c>
      <c r="E177" s="49" t="s">
        <v>56</v>
      </c>
      <c r="F177" s="49" t="s">
        <v>59</v>
      </c>
      <c r="G177" s="49" t="s">
        <v>16</v>
      </c>
      <c r="H177" s="11">
        <v>27201</v>
      </c>
      <c r="I177" s="11" t="s">
        <v>17</v>
      </c>
      <c r="J177" s="49" t="s">
        <v>33</v>
      </c>
      <c r="K177" s="50">
        <v>79.900000000000006</v>
      </c>
      <c r="L177" s="51">
        <f ca="1">TRUNC((TODAY()-tBase[[#This Row],[Data Nascimento]])/365)</f>
        <v>51</v>
      </c>
      <c r="M177" s="49" t="str">
        <f ca="1">HLOOKUP(tBase[[#This Row],[Idade]],$P$7:$S$8,2,TRUE)</f>
        <v>44 - 54</v>
      </c>
    </row>
    <row r="178" spans="2:13">
      <c r="B178" s="48">
        <v>84131868739</v>
      </c>
      <c r="C178" s="49" t="s">
        <v>134</v>
      </c>
      <c r="D178" s="49" t="s">
        <v>43</v>
      </c>
      <c r="E178" s="49" t="s">
        <v>56</v>
      </c>
      <c r="F178" s="49" t="s">
        <v>59</v>
      </c>
      <c r="G178" s="49" t="s">
        <v>16</v>
      </c>
      <c r="H178" s="11">
        <v>31946</v>
      </c>
      <c r="I178" s="11" t="s">
        <v>17</v>
      </c>
      <c r="J178" s="49" t="s">
        <v>33</v>
      </c>
      <c r="K178" s="50">
        <v>79.900000000000006</v>
      </c>
      <c r="L178" s="51">
        <f ca="1">TRUNC((TODAY()-tBase[[#This Row],[Data Nascimento]])/365)</f>
        <v>38</v>
      </c>
      <c r="M178" s="49" t="str">
        <f ca="1">HLOOKUP(tBase[[#This Row],[Idade]],$P$7:$S$8,2,TRUE)</f>
        <v>35 - 44</v>
      </c>
    </row>
    <row r="179" spans="2:13">
      <c r="B179" s="48">
        <v>45305541903</v>
      </c>
      <c r="C179" s="49" t="s">
        <v>135</v>
      </c>
      <c r="D179" s="49" t="s">
        <v>43</v>
      </c>
      <c r="E179" s="49" t="s">
        <v>56</v>
      </c>
      <c r="F179" s="49" t="s">
        <v>31</v>
      </c>
      <c r="G179" s="49" t="s">
        <v>16</v>
      </c>
      <c r="H179" s="11">
        <v>24382</v>
      </c>
      <c r="I179" s="11" t="s">
        <v>17</v>
      </c>
      <c r="J179" s="49" t="s">
        <v>33</v>
      </c>
      <c r="K179" s="50">
        <v>79.900000000000006</v>
      </c>
      <c r="L179" s="51">
        <f ca="1">TRUNC((TODAY()-tBase[[#This Row],[Data Nascimento]])/365)</f>
        <v>59</v>
      </c>
      <c r="M179" s="49" t="str">
        <f ca="1">HLOOKUP(tBase[[#This Row],[Idade]],$P$7:$S$8,2,TRUE)</f>
        <v>54-70</v>
      </c>
    </row>
    <row r="180" spans="2:13">
      <c r="B180" s="48">
        <v>52125136892</v>
      </c>
      <c r="C180" s="49" t="s">
        <v>135</v>
      </c>
      <c r="D180" s="49" t="s">
        <v>43</v>
      </c>
      <c r="E180" s="49" t="s">
        <v>56</v>
      </c>
      <c r="F180" s="49" t="s">
        <v>31</v>
      </c>
      <c r="G180" s="49" t="s">
        <v>16</v>
      </c>
      <c r="H180" s="11">
        <v>23887</v>
      </c>
      <c r="I180" s="11" t="s">
        <v>54</v>
      </c>
      <c r="J180" s="49" t="s">
        <v>33</v>
      </c>
      <c r="K180" s="50">
        <v>79.900000000000006</v>
      </c>
      <c r="L180" s="51">
        <f ca="1">TRUNC((TODAY()-tBase[[#This Row],[Data Nascimento]])/365)</f>
        <v>60</v>
      </c>
      <c r="M180" s="49" t="str">
        <f ca="1">HLOOKUP(tBase[[#This Row],[Idade]],$P$7:$S$8,2,TRUE)</f>
        <v>54-70</v>
      </c>
    </row>
    <row r="181" spans="2:13">
      <c r="B181" s="48">
        <v>31194503371</v>
      </c>
      <c r="C181" s="49" t="s">
        <v>136</v>
      </c>
      <c r="D181" s="49" t="s">
        <v>43</v>
      </c>
      <c r="E181" s="49" t="s">
        <v>56</v>
      </c>
      <c r="F181" s="49" t="s">
        <v>62</v>
      </c>
      <c r="G181" s="49" t="s">
        <v>16</v>
      </c>
      <c r="H181" s="11">
        <v>29709</v>
      </c>
      <c r="I181" s="11" t="s">
        <v>17</v>
      </c>
      <c r="J181" s="49" t="s">
        <v>18</v>
      </c>
      <c r="K181" s="50">
        <v>9.9</v>
      </c>
      <c r="L181" s="51">
        <f ca="1">TRUNC((TODAY()-tBase[[#This Row],[Data Nascimento]])/365)</f>
        <v>44</v>
      </c>
      <c r="M181" s="49" t="str">
        <f ca="1">HLOOKUP(tBase[[#This Row],[Idade]],$P$7:$S$8,2,TRUE)</f>
        <v>44 - 54</v>
      </c>
    </row>
    <row r="182" spans="2:13">
      <c r="B182" s="48">
        <v>52698133621</v>
      </c>
      <c r="C182" s="49" t="s">
        <v>136</v>
      </c>
      <c r="D182" s="49" t="s">
        <v>43</v>
      </c>
      <c r="E182" s="49" t="s">
        <v>56</v>
      </c>
      <c r="F182" s="49" t="s">
        <v>62</v>
      </c>
      <c r="G182" s="49" t="s">
        <v>16</v>
      </c>
      <c r="H182" s="11">
        <v>33668</v>
      </c>
      <c r="I182" s="11" t="s">
        <v>17</v>
      </c>
      <c r="J182" s="49" t="s">
        <v>18</v>
      </c>
      <c r="K182" s="50">
        <v>9.9</v>
      </c>
      <c r="L182" s="51">
        <f ca="1">TRUNC((TODAY()-tBase[[#This Row],[Data Nascimento]])/365)</f>
        <v>34</v>
      </c>
      <c r="M182" s="49" t="str">
        <f ca="1">HLOOKUP(tBase[[#This Row],[Idade]],$P$7:$S$8,2,TRUE)</f>
        <v>24-34</v>
      </c>
    </row>
    <row r="183" spans="2:13">
      <c r="B183" s="48">
        <v>33045087456</v>
      </c>
      <c r="C183" s="49" t="s">
        <v>137</v>
      </c>
      <c r="D183" s="49" t="s">
        <v>43</v>
      </c>
      <c r="E183" s="49" t="s">
        <v>56</v>
      </c>
      <c r="F183" s="49" t="s">
        <v>15</v>
      </c>
      <c r="G183" s="49" t="s">
        <v>16</v>
      </c>
      <c r="H183" s="11">
        <v>29216</v>
      </c>
      <c r="I183" s="11" t="s">
        <v>21</v>
      </c>
      <c r="J183" s="49" t="s">
        <v>41</v>
      </c>
      <c r="K183" s="50">
        <v>29.9</v>
      </c>
      <c r="L183" s="51">
        <f ca="1">TRUNC((TODAY()-tBase[[#This Row],[Data Nascimento]])/365)</f>
        <v>46</v>
      </c>
      <c r="M183" s="49" t="str">
        <f ca="1">HLOOKUP(tBase[[#This Row],[Idade]],$P$7:$S$8,2,TRUE)</f>
        <v>44 - 54</v>
      </c>
    </row>
    <row r="184" spans="2:13">
      <c r="B184" s="48">
        <v>80931859365</v>
      </c>
      <c r="C184" s="49" t="s">
        <v>137</v>
      </c>
      <c r="D184" s="49" t="s">
        <v>43</v>
      </c>
      <c r="E184" s="49" t="s">
        <v>56</v>
      </c>
      <c r="F184" s="49" t="s">
        <v>15</v>
      </c>
      <c r="G184" s="49" t="s">
        <v>16</v>
      </c>
      <c r="H184" s="11">
        <v>30815</v>
      </c>
      <c r="I184" s="11" t="s">
        <v>46</v>
      </c>
      <c r="J184" s="49" t="s">
        <v>41</v>
      </c>
      <c r="K184" s="50">
        <v>29.9</v>
      </c>
      <c r="L184" s="51">
        <f ca="1">TRUNC((TODAY()-tBase[[#This Row],[Data Nascimento]])/365)</f>
        <v>41</v>
      </c>
      <c r="M184" s="49" t="str">
        <f ca="1">HLOOKUP(tBase[[#This Row],[Idade]],$P$7:$S$8,2,TRUE)</f>
        <v>35 - 44</v>
      </c>
    </row>
    <row r="185" spans="2:13">
      <c r="B185" s="48">
        <v>31985811228</v>
      </c>
      <c r="C185" s="49" t="s">
        <v>138</v>
      </c>
      <c r="D185" s="49" t="s">
        <v>43</v>
      </c>
      <c r="E185" s="49" t="s">
        <v>56</v>
      </c>
      <c r="F185" s="49" t="s">
        <v>38</v>
      </c>
      <c r="G185" s="49" t="s">
        <v>32</v>
      </c>
      <c r="H185" s="11">
        <v>33035</v>
      </c>
      <c r="I185" s="11" t="s">
        <v>17</v>
      </c>
      <c r="J185" s="49" t="s">
        <v>41</v>
      </c>
      <c r="K185" s="50">
        <v>29.9</v>
      </c>
      <c r="L185" s="51">
        <f ca="1">TRUNC((TODAY()-tBase[[#This Row],[Data Nascimento]])/365)</f>
        <v>35</v>
      </c>
      <c r="M185" s="49" t="str">
        <f ca="1">HLOOKUP(tBase[[#This Row],[Idade]],$P$7:$S$8,2,TRUE)</f>
        <v>35 - 44</v>
      </c>
    </row>
    <row r="186" spans="2:13">
      <c r="B186" s="48">
        <v>81656115235</v>
      </c>
      <c r="C186" s="49" t="s">
        <v>138</v>
      </c>
      <c r="D186" s="49" t="s">
        <v>43</v>
      </c>
      <c r="E186" s="49" t="s">
        <v>56</v>
      </c>
      <c r="F186" s="49" t="s">
        <v>38</v>
      </c>
      <c r="G186" s="49" t="s">
        <v>32</v>
      </c>
      <c r="H186" s="11">
        <v>32752</v>
      </c>
      <c r="I186" s="11" t="s">
        <v>17</v>
      </c>
      <c r="J186" s="49" t="s">
        <v>41</v>
      </c>
      <c r="K186" s="50">
        <v>29.9</v>
      </c>
      <c r="L186" s="51">
        <f ca="1">TRUNC((TODAY()-tBase[[#This Row],[Data Nascimento]])/365)</f>
        <v>36</v>
      </c>
      <c r="M186" s="49" t="str">
        <f ca="1">HLOOKUP(tBase[[#This Row],[Idade]],$P$7:$S$8,2,TRUE)</f>
        <v>35 - 44</v>
      </c>
    </row>
    <row r="187" spans="2:13">
      <c r="B187" s="48">
        <v>36291746435</v>
      </c>
      <c r="C187" s="49" t="s">
        <v>139</v>
      </c>
      <c r="D187" s="49" t="s">
        <v>43</v>
      </c>
      <c r="E187" s="49" t="s">
        <v>56</v>
      </c>
      <c r="F187" s="49" t="s">
        <v>38</v>
      </c>
      <c r="G187" s="49" t="s">
        <v>32</v>
      </c>
      <c r="H187" s="11">
        <v>36045</v>
      </c>
      <c r="I187" s="11" t="s">
        <v>46</v>
      </c>
      <c r="J187" s="49" t="s">
        <v>41</v>
      </c>
      <c r="K187" s="50">
        <v>29.9</v>
      </c>
      <c r="L187" s="51">
        <f ca="1">TRUNC((TODAY()-tBase[[#This Row],[Data Nascimento]])/365)</f>
        <v>27</v>
      </c>
      <c r="M187" s="49" t="str">
        <f ca="1">HLOOKUP(tBase[[#This Row],[Idade]],$P$7:$S$8,2,TRUE)</f>
        <v>24-34</v>
      </c>
    </row>
    <row r="188" spans="2:13">
      <c r="B188" s="48">
        <v>50667919920</v>
      </c>
      <c r="C188" s="49" t="s">
        <v>139</v>
      </c>
      <c r="D188" s="49" t="s">
        <v>43</v>
      </c>
      <c r="E188" s="49" t="s">
        <v>56</v>
      </c>
      <c r="F188" s="49" t="s">
        <v>38</v>
      </c>
      <c r="G188" s="49" t="s">
        <v>32</v>
      </c>
      <c r="H188" s="11">
        <v>29743</v>
      </c>
      <c r="I188" s="11" t="s">
        <v>17</v>
      </c>
      <c r="J188" s="49" t="s">
        <v>41</v>
      </c>
      <c r="K188" s="50">
        <v>29.9</v>
      </c>
      <c r="L188" s="51">
        <f ca="1">TRUNC((TODAY()-tBase[[#This Row],[Data Nascimento]])/365)</f>
        <v>44</v>
      </c>
      <c r="M188" s="49" t="str">
        <f ca="1">HLOOKUP(tBase[[#This Row],[Idade]],$P$7:$S$8,2,TRUE)</f>
        <v>44 - 54</v>
      </c>
    </row>
    <row r="189" spans="2:13">
      <c r="B189" s="48">
        <v>54711975966</v>
      </c>
      <c r="C189" s="49" t="s">
        <v>140</v>
      </c>
      <c r="D189" s="49" t="s">
        <v>43</v>
      </c>
      <c r="E189" s="49" t="s">
        <v>56</v>
      </c>
      <c r="F189" s="49" t="s">
        <v>40</v>
      </c>
      <c r="G189" s="49" t="s">
        <v>16</v>
      </c>
      <c r="H189" s="11">
        <v>29826</v>
      </c>
      <c r="I189" s="11" t="s">
        <v>17</v>
      </c>
      <c r="J189" s="49" t="s">
        <v>41</v>
      </c>
      <c r="K189" s="50">
        <v>29.9</v>
      </c>
      <c r="L189" s="51">
        <f ca="1">TRUNC((TODAY()-tBase[[#This Row],[Data Nascimento]])/365)</f>
        <v>44</v>
      </c>
      <c r="M189" s="49" t="str">
        <f ca="1">HLOOKUP(tBase[[#This Row],[Idade]],$P$7:$S$8,2,TRUE)</f>
        <v>44 - 54</v>
      </c>
    </row>
    <row r="190" spans="2:13">
      <c r="B190" s="48">
        <v>99659049071</v>
      </c>
      <c r="C190" s="49" t="s">
        <v>140</v>
      </c>
      <c r="D190" s="49" t="s">
        <v>43</v>
      </c>
      <c r="E190" s="49" t="s">
        <v>56</v>
      </c>
      <c r="F190" s="49" t="s">
        <v>40</v>
      </c>
      <c r="G190" s="49" t="s">
        <v>16</v>
      </c>
      <c r="H190" s="11">
        <v>35229</v>
      </c>
      <c r="I190" s="11" t="s">
        <v>17</v>
      </c>
      <c r="J190" s="49" t="s">
        <v>41</v>
      </c>
      <c r="K190" s="50">
        <v>29.9</v>
      </c>
      <c r="L190" s="51">
        <f ca="1">TRUNC((TODAY()-tBase[[#This Row],[Data Nascimento]])/365)</f>
        <v>29</v>
      </c>
      <c r="M190" s="49" t="str">
        <f ca="1">HLOOKUP(tBase[[#This Row],[Idade]],$P$7:$S$8,2,TRUE)</f>
        <v>24-34</v>
      </c>
    </row>
    <row r="191" spans="2:13">
      <c r="B191" s="48">
        <v>50628172347</v>
      </c>
      <c r="C191" s="49" t="s">
        <v>141</v>
      </c>
      <c r="D191" s="49" t="s">
        <v>43</v>
      </c>
      <c r="E191" s="49" t="s">
        <v>56</v>
      </c>
      <c r="F191" s="49" t="s">
        <v>59</v>
      </c>
      <c r="G191" s="49" t="s">
        <v>16</v>
      </c>
      <c r="H191" s="11">
        <v>31899</v>
      </c>
      <c r="I191" s="11" t="s">
        <v>17</v>
      </c>
      <c r="J191" s="49" t="s">
        <v>33</v>
      </c>
      <c r="K191" s="50">
        <v>79.900000000000006</v>
      </c>
      <c r="L191" s="51">
        <f ca="1">TRUNC((TODAY()-tBase[[#This Row],[Data Nascimento]])/365)</f>
        <v>38</v>
      </c>
      <c r="M191" s="49" t="str">
        <f ca="1">HLOOKUP(tBase[[#This Row],[Idade]],$P$7:$S$8,2,TRUE)</f>
        <v>35 - 44</v>
      </c>
    </row>
    <row r="192" spans="2:13">
      <c r="B192" s="48">
        <v>67927286591</v>
      </c>
      <c r="C192" s="49" t="s">
        <v>141</v>
      </c>
      <c r="D192" s="49" t="s">
        <v>43</v>
      </c>
      <c r="E192" s="49" t="s">
        <v>56</v>
      </c>
      <c r="F192" s="49" t="s">
        <v>59</v>
      </c>
      <c r="G192" s="49" t="s">
        <v>16</v>
      </c>
      <c r="H192" s="11">
        <v>26151</v>
      </c>
      <c r="I192" s="11" t="s">
        <v>54</v>
      </c>
      <c r="J192" s="49" t="s">
        <v>33</v>
      </c>
      <c r="K192" s="50">
        <v>79.900000000000006</v>
      </c>
      <c r="L192" s="51">
        <f ca="1">TRUNC((TODAY()-tBase[[#This Row],[Data Nascimento]])/365)</f>
        <v>54</v>
      </c>
      <c r="M192" s="49" t="str">
        <f ca="1">HLOOKUP(tBase[[#This Row],[Idade]],$P$7:$S$8,2,TRUE)</f>
        <v>54-70</v>
      </c>
    </row>
    <row r="193" spans="2:13">
      <c r="B193" s="48">
        <v>52171616989</v>
      </c>
      <c r="C193" s="49" t="s">
        <v>142</v>
      </c>
      <c r="D193" s="49" t="s">
        <v>43</v>
      </c>
      <c r="E193" s="49" t="s">
        <v>56</v>
      </c>
      <c r="F193" s="49" t="s">
        <v>15</v>
      </c>
      <c r="G193" s="49" t="s">
        <v>16</v>
      </c>
      <c r="H193" s="11">
        <v>31303</v>
      </c>
      <c r="I193" s="11" t="s">
        <v>72</v>
      </c>
      <c r="J193" s="49" t="s">
        <v>18</v>
      </c>
      <c r="K193" s="50">
        <v>9.9</v>
      </c>
      <c r="L193" s="51">
        <f ca="1">TRUNC((TODAY()-tBase[[#This Row],[Data Nascimento]])/365)</f>
        <v>40</v>
      </c>
      <c r="M193" s="49" t="str">
        <f ca="1">HLOOKUP(tBase[[#This Row],[Idade]],$P$7:$S$8,2,TRUE)</f>
        <v>35 - 44</v>
      </c>
    </row>
    <row r="194" spans="2:13">
      <c r="B194" s="48">
        <v>88756128664</v>
      </c>
      <c r="C194" s="49" t="s">
        <v>142</v>
      </c>
      <c r="D194" s="49" t="s">
        <v>43</v>
      </c>
      <c r="E194" s="49" t="s">
        <v>56</v>
      </c>
      <c r="F194" s="49" t="s">
        <v>15</v>
      </c>
      <c r="G194" s="49" t="s">
        <v>16</v>
      </c>
      <c r="H194" s="11">
        <v>29275</v>
      </c>
      <c r="I194" s="11" t="s">
        <v>17</v>
      </c>
      <c r="J194" s="49" t="s">
        <v>18</v>
      </c>
      <c r="K194" s="50">
        <v>9.9</v>
      </c>
      <c r="L194" s="51">
        <f ca="1">TRUNC((TODAY()-tBase[[#This Row],[Data Nascimento]])/365)</f>
        <v>46</v>
      </c>
      <c r="M194" s="49" t="str">
        <f ca="1">HLOOKUP(tBase[[#This Row],[Idade]],$P$7:$S$8,2,TRUE)</f>
        <v>44 - 54</v>
      </c>
    </row>
    <row r="195" spans="2:13">
      <c r="B195" s="48">
        <v>42155541132</v>
      </c>
      <c r="C195" s="49" t="s">
        <v>143</v>
      </c>
      <c r="D195" s="49" t="s">
        <v>43</v>
      </c>
      <c r="E195" s="49" t="s">
        <v>56</v>
      </c>
      <c r="F195" s="49" t="s">
        <v>59</v>
      </c>
      <c r="G195" s="49" t="s">
        <v>52</v>
      </c>
      <c r="H195" s="11">
        <v>23002</v>
      </c>
      <c r="I195" s="11" t="s">
        <v>17</v>
      </c>
      <c r="J195" s="49" t="s">
        <v>33</v>
      </c>
      <c r="K195" s="50">
        <v>79.900000000000006</v>
      </c>
      <c r="L195" s="51">
        <f ca="1">TRUNC((TODAY()-tBase[[#This Row],[Data Nascimento]])/365)</f>
        <v>63</v>
      </c>
      <c r="M195" s="49" t="str">
        <f ca="1">HLOOKUP(tBase[[#This Row],[Idade]],$P$7:$S$8,2,TRUE)</f>
        <v>54-70</v>
      </c>
    </row>
    <row r="196" spans="2:13">
      <c r="B196" s="48">
        <v>46222211142</v>
      </c>
      <c r="C196" s="49" t="s">
        <v>143</v>
      </c>
      <c r="D196" s="49" t="s">
        <v>43</v>
      </c>
      <c r="E196" s="49" t="s">
        <v>56</v>
      </c>
      <c r="F196" s="49" t="s">
        <v>59</v>
      </c>
      <c r="G196" s="49" t="s">
        <v>52</v>
      </c>
      <c r="H196" s="11">
        <v>21213</v>
      </c>
      <c r="I196" s="11" t="s">
        <v>19</v>
      </c>
      <c r="J196" s="49" t="s">
        <v>33</v>
      </c>
      <c r="K196" s="50">
        <v>79.900000000000006</v>
      </c>
      <c r="L196" s="51">
        <f ca="1">TRUNC((TODAY()-tBase[[#This Row],[Data Nascimento]])/365)</f>
        <v>68</v>
      </c>
      <c r="M196" s="49" t="str">
        <f ca="1">HLOOKUP(tBase[[#This Row],[Idade]],$P$7:$S$8,2,TRUE)</f>
        <v>54-70</v>
      </c>
    </row>
    <row r="197" spans="2:13">
      <c r="B197" s="48">
        <v>36441615871</v>
      </c>
      <c r="C197" s="49" t="s">
        <v>144</v>
      </c>
      <c r="D197" s="49" t="s">
        <v>43</v>
      </c>
      <c r="E197" s="49" t="s">
        <v>56</v>
      </c>
      <c r="F197" s="49" t="s">
        <v>38</v>
      </c>
      <c r="G197" s="49" t="s">
        <v>16</v>
      </c>
      <c r="H197" s="11">
        <v>31733</v>
      </c>
      <c r="I197" s="11" t="s">
        <v>17</v>
      </c>
      <c r="J197" s="49" t="s">
        <v>41</v>
      </c>
      <c r="K197" s="50">
        <v>29.9</v>
      </c>
      <c r="L197" s="51">
        <f ca="1">TRUNC((TODAY()-tBase[[#This Row],[Data Nascimento]])/365)</f>
        <v>39</v>
      </c>
      <c r="M197" s="49" t="str">
        <f ca="1">HLOOKUP(tBase[[#This Row],[Idade]],$P$7:$S$8,2,TRUE)</f>
        <v>35 - 44</v>
      </c>
    </row>
    <row r="198" spans="2:13">
      <c r="B198" s="48">
        <v>49615735146</v>
      </c>
      <c r="C198" s="49" t="s">
        <v>144</v>
      </c>
      <c r="D198" s="49" t="s">
        <v>43</v>
      </c>
      <c r="E198" s="49" t="s">
        <v>56</v>
      </c>
      <c r="F198" s="49" t="s">
        <v>38</v>
      </c>
      <c r="G198" s="49" t="s">
        <v>16</v>
      </c>
      <c r="H198" s="11">
        <v>32468</v>
      </c>
      <c r="I198" s="11" t="s">
        <v>19</v>
      </c>
      <c r="J198" s="49" t="s">
        <v>41</v>
      </c>
      <c r="K198" s="50">
        <v>29.9</v>
      </c>
      <c r="L198" s="51">
        <f ca="1">TRUNC((TODAY()-tBase[[#This Row],[Data Nascimento]])/365)</f>
        <v>37</v>
      </c>
      <c r="M198" s="49" t="str">
        <f ca="1">HLOOKUP(tBase[[#This Row],[Idade]],$P$7:$S$8,2,TRUE)</f>
        <v>35 - 44</v>
      </c>
    </row>
    <row r="199" spans="2:13">
      <c r="B199" s="48">
        <v>33839338471</v>
      </c>
      <c r="C199" s="49" t="s">
        <v>145</v>
      </c>
      <c r="D199" s="49" t="s">
        <v>43</v>
      </c>
      <c r="E199" s="49" t="s">
        <v>56</v>
      </c>
      <c r="F199" s="49" t="s">
        <v>38</v>
      </c>
      <c r="G199" s="49" t="s">
        <v>16</v>
      </c>
      <c r="H199" s="11">
        <v>34877</v>
      </c>
      <c r="I199" s="11" t="s">
        <v>19</v>
      </c>
      <c r="J199" s="49" t="s">
        <v>41</v>
      </c>
      <c r="K199" s="50">
        <v>29.9</v>
      </c>
      <c r="L199" s="51">
        <f ca="1">TRUNC((TODAY()-tBase[[#This Row],[Data Nascimento]])/365)</f>
        <v>30</v>
      </c>
      <c r="M199" s="49" t="str">
        <f ca="1">HLOOKUP(tBase[[#This Row],[Idade]],$P$7:$S$8,2,TRUE)</f>
        <v>24-34</v>
      </c>
    </row>
    <row r="200" spans="2:13">
      <c r="B200" s="48">
        <v>53921313520</v>
      </c>
      <c r="C200" s="49" t="s">
        <v>145</v>
      </c>
      <c r="D200" s="49" t="s">
        <v>43</v>
      </c>
      <c r="E200" s="49" t="s">
        <v>56</v>
      </c>
      <c r="F200" s="49" t="s">
        <v>38</v>
      </c>
      <c r="G200" s="49" t="s">
        <v>16</v>
      </c>
      <c r="H200" s="11">
        <v>30267</v>
      </c>
      <c r="I200" s="11" t="s">
        <v>54</v>
      </c>
      <c r="J200" s="49" t="s">
        <v>41</v>
      </c>
      <c r="K200" s="50">
        <v>29.9</v>
      </c>
      <c r="L200" s="51">
        <f ca="1">TRUNC((TODAY()-tBase[[#This Row],[Data Nascimento]])/365)</f>
        <v>43</v>
      </c>
      <c r="M200" s="49" t="str">
        <f ca="1">HLOOKUP(tBase[[#This Row],[Idade]],$P$7:$S$8,2,TRUE)</f>
        <v>35 - 44</v>
      </c>
    </row>
    <row r="201" spans="2:13">
      <c r="B201" s="48">
        <v>34488046494</v>
      </c>
      <c r="C201" s="49" t="s">
        <v>146</v>
      </c>
      <c r="D201" s="49" t="s">
        <v>43</v>
      </c>
      <c r="E201" s="49" t="s">
        <v>56</v>
      </c>
      <c r="F201" s="49" t="s">
        <v>15</v>
      </c>
      <c r="G201" s="49" t="s">
        <v>32</v>
      </c>
      <c r="H201" s="11">
        <v>32278</v>
      </c>
      <c r="I201" s="11" t="s">
        <v>54</v>
      </c>
      <c r="J201" s="49" t="s">
        <v>18</v>
      </c>
      <c r="K201" s="50">
        <v>9.9</v>
      </c>
      <c r="L201" s="51">
        <f ca="1">TRUNC((TODAY()-tBase[[#This Row],[Data Nascimento]])/365)</f>
        <v>37</v>
      </c>
      <c r="M201" s="49" t="str">
        <f ca="1">HLOOKUP(tBase[[#This Row],[Idade]],$P$7:$S$8,2,TRUE)</f>
        <v>35 - 44</v>
      </c>
    </row>
    <row r="202" spans="2:13">
      <c r="B202" s="48">
        <v>69711643192</v>
      </c>
      <c r="C202" s="49" t="s">
        <v>146</v>
      </c>
      <c r="D202" s="49" t="s">
        <v>43</v>
      </c>
      <c r="E202" s="49" t="s">
        <v>56</v>
      </c>
      <c r="F202" s="49" t="s">
        <v>15</v>
      </c>
      <c r="G202" s="49" t="s">
        <v>32</v>
      </c>
      <c r="H202" s="11">
        <v>33087</v>
      </c>
      <c r="I202" s="11" t="s">
        <v>17</v>
      </c>
      <c r="J202" s="49" t="s">
        <v>18</v>
      </c>
      <c r="K202" s="50">
        <v>9.9</v>
      </c>
      <c r="L202" s="51">
        <f ca="1">TRUNC((TODAY()-tBase[[#This Row],[Data Nascimento]])/365)</f>
        <v>35</v>
      </c>
      <c r="M202" s="49" t="str">
        <f ca="1">HLOOKUP(tBase[[#This Row],[Idade]],$P$7:$S$8,2,TRUE)</f>
        <v>35 - 44</v>
      </c>
    </row>
    <row r="203" spans="2:13">
      <c r="B203" s="48">
        <v>30763734385</v>
      </c>
      <c r="C203" s="49" t="s">
        <v>147</v>
      </c>
      <c r="D203" s="49" t="s">
        <v>43</v>
      </c>
      <c r="E203" s="49" t="s">
        <v>56</v>
      </c>
      <c r="F203" s="49" t="s">
        <v>15</v>
      </c>
      <c r="G203" s="49" t="s">
        <v>32</v>
      </c>
      <c r="H203" s="11">
        <v>29882</v>
      </c>
      <c r="I203" s="11" t="s">
        <v>17</v>
      </c>
      <c r="J203" s="49" t="s">
        <v>33</v>
      </c>
      <c r="K203" s="50">
        <v>79.900000000000006</v>
      </c>
      <c r="L203" s="51">
        <f ca="1">TRUNC((TODAY()-tBase[[#This Row],[Data Nascimento]])/365)</f>
        <v>44</v>
      </c>
      <c r="M203" s="49" t="str">
        <f ca="1">HLOOKUP(tBase[[#This Row],[Idade]],$P$7:$S$8,2,TRUE)</f>
        <v>44 - 54</v>
      </c>
    </row>
    <row r="204" spans="2:13">
      <c r="B204" s="48">
        <v>50125202242</v>
      </c>
      <c r="C204" s="49" t="s">
        <v>147</v>
      </c>
      <c r="D204" s="49" t="s">
        <v>43</v>
      </c>
      <c r="E204" s="49" t="s">
        <v>56</v>
      </c>
      <c r="F204" s="49" t="s">
        <v>15</v>
      </c>
      <c r="G204" s="49" t="s">
        <v>32</v>
      </c>
      <c r="H204" s="11">
        <v>30336</v>
      </c>
      <c r="I204" s="11" t="s">
        <v>36</v>
      </c>
      <c r="J204" s="49" t="s">
        <v>33</v>
      </c>
      <c r="K204" s="50">
        <v>79.900000000000006</v>
      </c>
      <c r="L204" s="51">
        <f ca="1">TRUNC((TODAY()-tBase[[#This Row],[Data Nascimento]])/365)</f>
        <v>43</v>
      </c>
      <c r="M204" s="49" t="str">
        <f ca="1">HLOOKUP(tBase[[#This Row],[Idade]],$P$7:$S$8,2,TRUE)</f>
        <v>35 - 44</v>
      </c>
    </row>
    <row r="205" spans="2:13">
      <c r="B205" s="48">
        <v>27972353916</v>
      </c>
      <c r="C205" s="49" t="s">
        <v>148</v>
      </c>
      <c r="D205" s="49" t="s">
        <v>43</v>
      </c>
      <c r="E205" s="49" t="s">
        <v>56</v>
      </c>
      <c r="F205" s="49" t="s">
        <v>38</v>
      </c>
      <c r="G205" s="49" t="s">
        <v>16</v>
      </c>
      <c r="H205" s="11">
        <v>26420</v>
      </c>
      <c r="I205" s="11" t="s">
        <v>54</v>
      </c>
      <c r="J205" s="49" t="s">
        <v>41</v>
      </c>
      <c r="K205" s="50">
        <v>29.9</v>
      </c>
      <c r="L205" s="51">
        <f ca="1">TRUNC((TODAY()-tBase[[#This Row],[Data Nascimento]])/365)</f>
        <v>53</v>
      </c>
      <c r="M205" s="49" t="str">
        <f ca="1">HLOOKUP(tBase[[#This Row],[Idade]],$P$7:$S$8,2,TRUE)</f>
        <v>44 - 54</v>
      </c>
    </row>
    <row r="206" spans="2:13">
      <c r="B206" s="48">
        <v>67330566972</v>
      </c>
      <c r="C206" s="49" t="s">
        <v>148</v>
      </c>
      <c r="D206" s="49" t="s">
        <v>43</v>
      </c>
      <c r="E206" s="49" t="s">
        <v>56</v>
      </c>
      <c r="F206" s="49" t="s">
        <v>38</v>
      </c>
      <c r="G206" s="49" t="s">
        <v>16</v>
      </c>
      <c r="H206" s="11">
        <v>26195</v>
      </c>
      <c r="I206" s="11" t="s">
        <v>21</v>
      </c>
      <c r="J206" s="49" t="s">
        <v>41</v>
      </c>
      <c r="K206" s="50">
        <v>29.9</v>
      </c>
      <c r="L206" s="51">
        <f ca="1">TRUNC((TODAY()-tBase[[#This Row],[Data Nascimento]])/365)</f>
        <v>54</v>
      </c>
      <c r="M206" s="49" t="str">
        <f ca="1">HLOOKUP(tBase[[#This Row],[Idade]],$P$7:$S$8,2,TRUE)</f>
        <v>54-70</v>
      </c>
    </row>
    <row r="207" spans="2:13">
      <c r="B207" s="48">
        <v>32080730358</v>
      </c>
      <c r="C207" s="49" t="s">
        <v>149</v>
      </c>
      <c r="D207" s="49" t="s">
        <v>43</v>
      </c>
      <c r="E207" s="49" t="s">
        <v>56</v>
      </c>
      <c r="F207" s="49" t="s">
        <v>62</v>
      </c>
      <c r="G207" s="49" t="s">
        <v>16</v>
      </c>
      <c r="H207" s="11">
        <v>31794</v>
      </c>
      <c r="I207" s="11" t="s">
        <v>21</v>
      </c>
      <c r="J207" s="49" t="s">
        <v>41</v>
      </c>
      <c r="K207" s="50">
        <v>29.9</v>
      </c>
      <c r="L207" s="51">
        <f ca="1">TRUNC((TODAY()-tBase[[#This Row],[Data Nascimento]])/365)</f>
        <v>39</v>
      </c>
      <c r="M207" s="49" t="str">
        <f ca="1">HLOOKUP(tBase[[#This Row],[Idade]],$P$7:$S$8,2,TRUE)</f>
        <v>35 - 44</v>
      </c>
    </row>
    <row r="208" spans="2:13">
      <c r="B208" s="48">
        <v>45961352404</v>
      </c>
      <c r="C208" s="49" t="s">
        <v>149</v>
      </c>
      <c r="D208" s="49" t="s">
        <v>43</v>
      </c>
      <c r="E208" s="49" t="s">
        <v>56</v>
      </c>
      <c r="F208" s="49" t="s">
        <v>62</v>
      </c>
      <c r="G208" s="49" t="s">
        <v>16</v>
      </c>
      <c r="H208" s="11">
        <v>30770</v>
      </c>
      <c r="I208" s="11" t="s">
        <v>19</v>
      </c>
      <c r="J208" s="49" t="s">
        <v>41</v>
      </c>
      <c r="K208" s="50">
        <v>29.9</v>
      </c>
      <c r="L208" s="51">
        <f ca="1">TRUNC((TODAY()-tBase[[#This Row],[Data Nascimento]])/365)</f>
        <v>42</v>
      </c>
      <c r="M208" s="49" t="str">
        <f ca="1">HLOOKUP(tBase[[#This Row],[Idade]],$P$7:$S$8,2,TRUE)</f>
        <v>35 - 44</v>
      </c>
    </row>
    <row r="209" spans="2:13">
      <c r="B209" s="48">
        <v>37275901953</v>
      </c>
      <c r="C209" s="49" t="s">
        <v>150</v>
      </c>
      <c r="D209" s="49" t="s">
        <v>43</v>
      </c>
      <c r="E209" s="49" t="s">
        <v>56</v>
      </c>
      <c r="F209" s="49" t="s">
        <v>31</v>
      </c>
      <c r="G209" s="49" t="s">
        <v>32</v>
      </c>
      <c r="H209" s="11">
        <v>23462</v>
      </c>
      <c r="I209" s="11" t="s">
        <v>17</v>
      </c>
      <c r="J209" s="49" t="s">
        <v>33</v>
      </c>
      <c r="K209" s="50">
        <v>79.900000000000006</v>
      </c>
      <c r="L209" s="51">
        <f ca="1">TRUNC((TODAY()-tBase[[#This Row],[Data Nascimento]])/365)</f>
        <v>62</v>
      </c>
      <c r="M209" s="49" t="str">
        <f ca="1">HLOOKUP(tBase[[#This Row],[Idade]],$P$7:$S$8,2,TRUE)</f>
        <v>54-70</v>
      </c>
    </row>
    <row r="210" spans="2:13">
      <c r="B210" s="48">
        <v>50699518176</v>
      </c>
      <c r="C210" s="49" t="s">
        <v>150</v>
      </c>
      <c r="D210" s="49" t="s">
        <v>43</v>
      </c>
      <c r="E210" s="49" t="s">
        <v>56</v>
      </c>
      <c r="F210" s="49" t="s">
        <v>31</v>
      </c>
      <c r="G210" s="49" t="s">
        <v>32</v>
      </c>
      <c r="H210" s="11">
        <v>32608</v>
      </c>
      <c r="I210" s="11" t="s">
        <v>17</v>
      </c>
      <c r="J210" s="49" t="s">
        <v>33</v>
      </c>
      <c r="K210" s="50">
        <v>79.900000000000006</v>
      </c>
      <c r="L210" s="51">
        <f ca="1">TRUNC((TODAY()-tBase[[#This Row],[Data Nascimento]])/365)</f>
        <v>36</v>
      </c>
      <c r="M210" s="49" t="str">
        <f ca="1">HLOOKUP(tBase[[#This Row],[Idade]],$P$7:$S$8,2,TRUE)</f>
        <v>35 - 44</v>
      </c>
    </row>
    <row r="211" spans="2:13">
      <c r="B211" s="48">
        <v>49395647705</v>
      </c>
      <c r="C211" s="49" t="s">
        <v>151</v>
      </c>
      <c r="D211" s="49" t="s">
        <v>43</v>
      </c>
      <c r="E211" s="49" t="s">
        <v>56</v>
      </c>
      <c r="F211" s="49" t="s">
        <v>15</v>
      </c>
      <c r="G211" s="49" t="s">
        <v>32</v>
      </c>
      <c r="H211" s="11">
        <v>32945</v>
      </c>
      <c r="I211" s="11" t="s">
        <v>72</v>
      </c>
      <c r="J211" s="49" t="s">
        <v>33</v>
      </c>
      <c r="K211" s="50">
        <v>79.900000000000006</v>
      </c>
      <c r="L211" s="51">
        <f ca="1">TRUNC((TODAY()-tBase[[#This Row],[Data Nascimento]])/365)</f>
        <v>36</v>
      </c>
      <c r="M211" s="49" t="str">
        <f ca="1">HLOOKUP(tBase[[#This Row],[Idade]],$P$7:$S$8,2,TRUE)</f>
        <v>35 - 44</v>
      </c>
    </row>
    <row r="212" spans="2:13">
      <c r="B212" s="48">
        <v>90226137721</v>
      </c>
      <c r="C212" s="49" t="s">
        <v>151</v>
      </c>
      <c r="D212" s="49" t="s">
        <v>43</v>
      </c>
      <c r="E212" s="49" t="s">
        <v>56</v>
      </c>
      <c r="F212" s="49" t="s">
        <v>15</v>
      </c>
      <c r="G212" s="49" t="s">
        <v>32</v>
      </c>
      <c r="H212" s="11">
        <v>27142</v>
      </c>
      <c r="I212" s="11" t="s">
        <v>46</v>
      </c>
      <c r="J212" s="49" t="s">
        <v>33</v>
      </c>
      <c r="K212" s="50">
        <v>79.900000000000006</v>
      </c>
      <c r="L212" s="51">
        <f ca="1">TRUNC((TODAY()-tBase[[#This Row],[Data Nascimento]])/365)</f>
        <v>51</v>
      </c>
      <c r="M212" s="49" t="str">
        <f ca="1">HLOOKUP(tBase[[#This Row],[Idade]],$P$7:$S$8,2,TRUE)</f>
        <v>44 - 54</v>
      </c>
    </row>
    <row r="213" spans="2:13">
      <c r="B213" s="48">
        <v>26642966334</v>
      </c>
      <c r="C213" s="49" t="s">
        <v>152</v>
      </c>
      <c r="D213" s="49" t="s">
        <v>43</v>
      </c>
      <c r="E213" s="49" t="s">
        <v>56</v>
      </c>
      <c r="F213" s="49" t="s">
        <v>62</v>
      </c>
      <c r="G213" s="49" t="s">
        <v>16</v>
      </c>
      <c r="H213" s="11">
        <v>27136</v>
      </c>
      <c r="I213" s="11" t="s">
        <v>24</v>
      </c>
      <c r="J213" s="49" t="s">
        <v>18</v>
      </c>
      <c r="K213" s="50">
        <v>9.9</v>
      </c>
      <c r="L213" s="51">
        <f ca="1">TRUNC((TODAY()-tBase[[#This Row],[Data Nascimento]])/365)</f>
        <v>51</v>
      </c>
      <c r="M213" s="49" t="str">
        <f ca="1">HLOOKUP(tBase[[#This Row],[Idade]],$P$7:$S$8,2,TRUE)</f>
        <v>44 - 54</v>
      </c>
    </row>
    <row r="214" spans="2:13">
      <c r="B214" s="48">
        <v>65320164752</v>
      </c>
      <c r="C214" s="49" t="s">
        <v>152</v>
      </c>
      <c r="D214" s="49" t="s">
        <v>43</v>
      </c>
      <c r="E214" s="49" t="s">
        <v>56</v>
      </c>
      <c r="F214" s="49" t="s">
        <v>62</v>
      </c>
      <c r="G214" s="49" t="s">
        <v>16</v>
      </c>
      <c r="H214" s="11">
        <v>23147</v>
      </c>
      <c r="I214" s="11" t="s">
        <v>19</v>
      </c>
      <c r="J214" s="49" t="s">
        <v>18</v>
      </c>
      <c r="K214" s="50">
        <v>9.9</v>
      </c>
      <c r="L214" s="51">
        <f ca="1">TRUNC((TODAY()-tBase[[#This Row],[Data Nascimento]])/365)</f>
        <v>62</v>
      </c>
      <c r="M214" s="49" t="str">
        <f ca="1">HLOOKUP(tBase[[#This Row],[Idade]],$P$7:$S$8,2,TRUE)</f>
        <v>54-70</v>
      </c>
    </row>
    <row r="215" spans="2:13">
      <c r="B215" s="48">
        <v>35121899842</v>
      </c>
      <c r="C215" s="49" t="s">
        <v>153</v>
      </c>
      <c r="D215" s="49" t="s">
        <v>43</v>
      </c>
      <c r="E215" s="49" t="s">
        <v>56</v>
      </c>
      <c r="F215" s="49" t="s">
        <v>38</v>
      </c>
      <c r="G215" s="49" t="s">
        <v>16</v>
      </c>
      <c r="H215" s="11">
        <v>30252</v>
      </c>
      <c r="I215" s="11" t="s">
        <v>17</v>
      </c>
      <c r="J215" s="49" t="s">
        <v>41</v>
      </c>
      <c r="K215" s="50">
        <v>29.9</v>
      </c>
      <c r="L215" s="51">
        <f ca="1">TRUNC((TODAY()-tBase[[#This Row],[Data Nascimento]])/365)</f>
        <v>43</v>
      </c>
      <c r="M215" s="49" t="str">
        <f ca="1">HLOOKUP(tBase[[#This Row],[Idade]],$P$7:$S$8,2,TRUE)</f>
        <v>35 - 44</v>
      </c>
    </row>
    <row r="216" spans="2:13">
      <c r="B216" s="48">
        <v>90433255608</v>
      </c>
      <c r="C216" s="49" t="s">
        <v>153</v>
      </c>
      <c r="D216" s="49" t="s">
        <v>43</v>
      </c>
      <c r="E216" s="49" t="s">
        <v>56</v>
      </c>
      <c r="F216" s="49" t="s">
        <v>38</v>
      </c>
      <c r="G216" s="49" t="s">
        <v>16</v>
      </c>
      <c r="H216" s="11">
        <v>26672</v>
      </c>
      <c r="I216" s="11" t="s">
        <v>19</v>
      </c>
      <c r="J216" s="49" t="s">
        <v>41</v>
      </c>
      <c r="K216" s="50">
        <v>29.9</v>
      </c>
      <c r="L216" s="51">
        <f ca="1">TRUNC((TODAY()-tBase[[#This Row],[Data Nascimento]])/365)</f>
        <v>53</v>
      </c>
      <c r="M216" s="49" t="str">
        <f ca="1">HLOOKUP(tBase[[#This Row],[Idade]],$P$7:$S$8,2,TRUE)</f>
        <v>44 - 54</v>
      </c>
    </row>
    <row r="217" spans="2:13">
      <c r="B217" s="48">
        <v>46884175269</v>
      </c>
      <c r="C217" s="49" t="s">
        <v>154</v>
      </c>
      <c r="D217" s="49" t="s">
        <v>43</v>
      </c>
      <c r="E217" s="49" t="s">
        <v>56</v>
      </c>
      <c r="F217" s="49" t="s">
        <v>38</v>
      </c>
      <c r="G217" s="49" t="s">
        <v>32</v>
      </c>
      <c r="H217" s="11">
        <v>22480</v>
      </c>
      <c r="I217" s="11" t="s">
        <v>19</v>
      </c>
      <c r="J217" s="49" t="s">
        <v>41</v>
      </c>
      <c r="K217" s="50">
        <v>29.9</v>
      </c>
      <c r="L217" s="51">
        <f ca="1">TRUNC((TODAY()-tBase[[#This Row],[Data Nascimento]])/365)</f>
        <v>64</v>
      </c>
      <c r="M217" s="49" t="str">
        <f ca="1">HLOOKUP(tBase[[#This Row],[Idade]],$P$7:$S$8,2,TRUE)</f>
        <v>54-70</v>
      </c>
    </row>
    <row r="218" spans="2:13">
      <c r="B218" s="48">
        <v>95580971716</v>
      </c>
      <c r="C218" s="49" t="s">
        <v>154</v>
      </c>
      <c r="D218" s="49" t="s">
        <v>43</v>
      </c>
      <c r="E218" s="49" t="s">
        <v>56</v>
      </c>
      <c r="F218" s="49" t="s">
        <v>38</v>
      </c>
      <c r="G218" s="49" t="s">
        <v>16</v>
      </c>
      <c r="H218" s="11">
        <v>32835</v>
      </c>
      <c r="I218" s="11" t="s">
        <v>24</v>
      </c>
      <c r="J218" s="49" t="s">
        <v>41</v>
      </c>
      <c r="K218" s="50">
        <v>29.9</v>
      </c>
      <c r="L218" s="51">
        <f ca="1">TRUNC((TODAY()-tBase[[#This Row],[Data Nascimento]])/365)</f>
        <v>36</v>
      </c>
      <c r="M218" s="49" t="str">
        <f ca="1">HLOOKUP(tBase[[#This Row],[Idade]],$P$7:$S$8,2,TRUE)</f>
        <v>35 - 44</v>
      </c>
    </row>
    <row r="219" spans="2:13">
      <c r="B219" s="48">
        <v>41775805487</v>
      </c>
      <c r="C219" s="49" t="s">
        <v>155</v>
      </c>
      <c r="D219" s="49" t="s">
        <v>43</v>
      </c>
      <c r="E219" s="49" t="s">
        <v>56</v>
      </c>
      <c r="F219" s="49" t="s">
        <v>15</v>
      </c>
      <c r="G219" s="49" t="s">
        <v>32</v>
      </c>
      <c r="H219" s="11">
        <v>29946</v>
      </c>
      <c r="I219" s="11" t="s">
        <v>72</v>
      </c>
      <c r="J219" s="49" t="s">
        <v>33</v>
      </c>
      <c r="K219" s="50">
        <v>79.900000000000006</v>
      </c>
      <c r="L219" s="51">
        <f ca="1">TRUNC((TODAY()-tBase[[#This Row],[Data Nascimento]])/365)</f>
        <v>44</v>
      </c>
      <c r="M219" s="49" t="str">
        <f ca="1">HLOOKUP(tBase[[#This Row],[Idade]],$P$7:$S$8,2,TRUE)</f>
        <v>44 - 54</v>
      </c>
    </row>
    <row r="220" spans="2:13">
      <c r="B220" s="48">
        <v>45344898195</v>
      </c>
      <c r="C220" s="49" t="s">
        <v>155</v>
      </c>
      <c r="D220" s="49" t="s">
        <v>43</v>
      </c>
      <c r="E220" s="49" t="s">
        <v>56</v>
      </c>
      <c r="F220" s="49" t="s">
        <v>15</v>
      </c>
      <c r="G220" s="49" t="s">
        <v>32</v>
      </c>
      <c r="H220" s="11">
        <v>34215</v>
      </c>
      <c r="I220" s="11" t="s">
        <v>17</v>
      </c>
      <c r="J220" s="49" t="s">
        <v>33</v>
      </c>
      <c r="K220" s="50">
        <v>79.900000000000006</v>
      </c>
      <c r="L220" s="51">
        <f ca="1">TRUNC((TODAY()-tBase[[#This Row],[Data Nascimento]])/365)</f>
        <v>32</v>
      </c>
      <c r="M220" s="49" t="str">
        <f ca="1">HLOOKUP(tBase[[#This Row],[Idade]],$P$7:$S$8,2,TRUE)</f>
        <v>24-34</v>
      </c>
    </row>
    <row r="221" spans="2:13">
      <c r="B221" s="48">
        <v>32043808085</v>
      </c>
      <c r="C221" s="49" t="s">
        <v>156</v>
      </c>
      <c r="D221" s="49" t="s">
        <v>43</v>
      </c>
      <c r="E221" s="49" t="s">
        <v>56</v>
      </c>
      <c r="F221" s="49" t="s">
        <v>15</v>
      </c>
      <c r="G221" s="49" t="s">
        <v>16</v>
      </c>
      <c r="H221" s="11">
        <v>30767</v>
      </c>
      <c r="I221" s="11" t="s">
        <v>17</v>
      </c>
      <c r="J221" s="49" t="s">
        <v>41</v>
      </c>
      <c r="K221" s="50">
        <v>29.9</v>
      </c>
      <c r="L221" s="51">
        <f ca="1">TRUNC((TODAY()-tBase[[#This Row],[Data Nascimento]])/365)</f>
        <v>42</v>
      </c>
      <c r="M221" s="49" t="str">
        <f ca="1">HLOOKUP(tBase[[#This Row],[Idade]],$P$7:$S$8,2,TRUE)</f>
        <v>35 - 44</v>
      </c>
    </row>
    <row r="222" spans="2:13">
      <c r="B222" s="48">
        <v>59510083298</v>
      </c>
      <c r="C222" s="49" t="s">
        <v>156</v>
      </c>
      <c r="D222" s="49" t="s">
        <v>43</v>
      </c>
      <c r="E222" s="49" t="s">
        <v>56</v>
      </c>
      <c r="F222" s="49" t="s">
        <v>15</v>
      </c>
      <c r="G222" s="49" t="s">
        <v>16</v>
      </c>
      <c r="H222" s="11">
        <v>22517</v>
      </c>
      <c r="I222" s="11" t="s">
        <v>19</v>
      </c>
      <c r="J222" s="49" t="s">
        <v>41</v>
      </c>
      <c r="K222" s="50">
        <v>29.9</v>
      </c>
      <c r="L222" s="51">
        <f ca="1">TRUNC((TODAY()-tBase[[#This Row],[Data Nascimento]])/365)</f>
        <v>64</v>
      </c>
      <c r="M222" s="49" t="str">
        <f ca="1">HLOOKUP(tBase[[#This Row],[Idade]],$P$7:$S$8,2,TRUE)</f>
        <v>54-70</v>
      </c>
    </row>
    <row r="223" spans="2:13">
      <c r="B223" s="48">
        <v>41826922437</v>
      </c>
      <c r="C223" s="49" t="s">
        <v>157</v>
      </c>
      <c r="D223" s="49" t="s">
        <v>43</v>
      </c>
      <c r="E223" s="49" t="s">
        <v>56</v>
      </c>
      <c r="F223" s="49" t="s">
        <v>31</v>
      </c>
      <c r="G223" s="49" t="s">
        <v>32</v>
      </c>
      <c r="H223" s="11">
        <v>28295</v>
      </c>
      <c r="I223" s="11" t="s">
        <v>19</v>
      </c>
      <c r="J223" s="49" t="s">
        <v>33</v>
      </c>
      <c r="K223" s="50">
        <v>79.900000000000006</v>
      </c>
      <c r="L223" s="51">
        <f ca="1">TRUNC((TODAY()-tBase[[#This Row],[Data Nascimento]])/365)</f>
        <v>48</v>
      </c>
      <c r="M223" s="49" t="str">
        <f ca="1">HLOOKUP(tBase[[#This Row],[Idade]],$P$7:$S$8,2,TRUE)</f>
        <v>44 - 54</v>
      </c>
    </row>
    <row r="224" spans="2:13">
      <c r="B224" s="48">
        <v>89576352486</v>
      </c>
      <c r="C224" s="49" t="s">
        <v>157</v>
      </c>
      <c r="D224" s="49" t="s">
        <v>43</v>
      </c>
      <c r="E224" s="49" t="s">
        <v>56</v>
      </c>
      <c r="F224" s="49" t="s">
        <v>31</v>
      </c>
      <c r="G224" s="49" t="s">
        <v>32</v>
      </c>
      <c r="H224" s="11">
        <v>34800</v>
      </c>
      <c r="I224" s="11" t="s">
        <v>21</v>
      </c>
      <c r="J224" s="49" t="s">
        <v>33</v>
      </c>
      <c r="K224" s="50">
        <v>79.900000000000006</v>
      </c>
      <c r="L224" s="51">
        <f ca="1">TRUNC((TODAY()-tBase[[#This Row],[Data Nascimento]])/365)</f>
        <v>30</v>
      </c>
      <c r="M224" s="49" t="str">
        <f ca="1">HLOOKUP(tBase[[#This Row],[Idade]],$P$7:$S$8,2,TRUE)</f>
        <v>24-34</v>
      </c>
    </row>
    <row r="225" spans="2:13">
      <c r="B225" s="48">
        <v>23327518189</v>
      </c>
      <c r="C225" s="49" t="s">
        <v>158</v>
      </c>
      <c r="D225" s="49" t="s">
        <v>43</v>
      </c>
      <c r="E225" s="49" t="s">
        <v>56</v>
      </c>
      <c r="F225" s="49" t="s">
        <v>38</v>
      </c>
      <c r="G225" s="49" t="s">
        <v>32</v>
      </c>
      <c r="H225" s="11">
        <v>21366</v>
      </c>
      <c r="I225" s="11" t="s">
        <v>19</v>
      </c>
      <c r="J225" s="49" t="s">
        <v>41</v>
      </c>
      <c r="K225" s="50">
        <v>29.9</v>
      </c>
      <c r="L225" s="51">
        <f ca="1">TRUNC((TODAY()-tBase[[#This Row],[Data Nascimento]])/365)</f>
        <v>67</v>
      </c>
      <c r="M225" s="49" t="str">
        <f ca="1">HLOOKUP(tBase[[#This Row],[Idade]],$P$7:$S$8,2,TRUE)</f>
        <v>54-70</v>
      </c>
    </row>
    <row r="226" spans="2:13">
      <c r="B226" s="48">
        <v>86978937487</v>
      </c>
      <c r="C226" s="49" t="s">
        <v>158</v>
      </c>
      <c r="D226" s="49" t="s">
        <v>43</v>
      </c>
      <c r="E226" s="49" t="s">
        <v>56</v>
      </c>
      <c r="F226" s="49" t="s">
        <v>38</v>
      </c>
      <c r="G226" s="49" t="s">
        <v>32</v>
      </c>
      <c r="H226" s="11">
        <v>23368</v>
      </c>
      <c r="I226" s="11" t="s">
        <v>17</v>
      </c>
      <c r="J226" s="49" t="s">
        <v>41</v>
      </c>
      <c r="K226" s="50">
        <v>29.9</v>
      </c>
      <c r="L226" s="51">
        <f ca="1">TRUNC((TODAY()-tBase[[#This Row],[Data Nascimento]])/365)</f>
        <v>62</v>
      </c>
      <c r="M226" s="49" t="str">
        <f ca="1">HLOOKUP(tBase[[#This Row],[Idade]],$P$7:$S$8,2,TRUE)</f>
        <v>54-70</v>
      </c>
    </row>
    <row r="227" spans="2:13">
      <c r="B227" s="48">
        <v>31655555649</v>
      </c>
      <c r="C227" s="49" t="s">
        <v>159</v>
      </c>
      <c r="D227" s="49" t="s">
        <v>43</v>
      </c>
      <c r="E227" s="49" t="s">
        <v>56</v>
      </c>
      <c r="F227" s="49" t="s">
        <v>15</v>
      </c>
      <c r="G227" s="49" t="s">
        <v>32</v>
      </c>
      <c r="H227" s="11">
        <v>30420</v>
      </c>
      <c r="I227" s="11" t="s">
        <v>19</v>
      </c>
      <c r="J227" s="49" t="s">
        <v>33</v>
      </c>
      <c r="K227" s="50">
        <v>79.900000000000006</v>
      </c>
      <c r="L227" s="51">
        <f ca="1">TRUNC((TODAY()-tBase[[#This Row],[Data Nascimento]])/365)</f>
        <v>42</v>
      </c>
      <c r="M227" s="49" t="str">
        <f ca="1">HLOOKUP(tBase[[#This Row],[Idade]],$P$7:$S$8,2,TRUE)</f>
        <v>35 - 44</v>
      </c>
    </row>
    <row r="228" spans="2:13">
      <c r="B228" s="48">
        <v>41877616889</v>
      </c>
      <c r="C228" s="49" t="s">
        <v>159</v>
      </c>
      <c r="D228" s="49" t="s">
        <v>43</v>
      </c>
      <c r="E228" s="49" t="s">
        <v>56</v>
      </c>
      <c r="F228" s="49" t="s">
        <v>15</v>
      </c>
      <c r="G228" s="49" t="s">
        <v>32</v>
      </c>
      <c r="H228" s="11">
        <v>29499</v>
      </c>
      <c r="I228" s="11" t="s">
        <v>19</v>
      </c>
      <c r="J228" s="49" t="s">
        <v>33</v>
      </c>
      <c r="K228" s="50">
        <v>79.900000000000006</v>
      </c>
      <c r="L228" s="51">
        <f ca="1">TRUNC((TODAY()-tBase[[#This Row],[Data Nascimento]])/365)</f>
        <v>45</v>
      </c>
      <c r="M228" s="49" t="str">
        <f ca="1">HLOOKUP(tBase[[#This Row],[Idade]],$P$7:$S$8,2,TRUE)</f>
        <v>44 - 54</v>
      </c>
    </row>
    <row r="229" spans="2:13">
      <c r="B229" s="48">
        <v>40397347853</v>
      </c>
      <c r="C229" s="49" t="s">
        <v>160</v>
      </c>
      <c r="D229" s="49" t="s">
        <v>43</v>
      </c>
      <c r="E229" s="49" t="s">
        <v>56</v>
      </c>
      <c r="F229" s="49" t="s">
        <v>59</v>
      </c>
      <c r="G229" s="49" t="s">
        <v>16</v>
      </c>
      <c r="H229" s="11">
        <v>31951</v>
      </c>
      <c r="I229" s="11" t="s">
        <v>24</v>
      </c>
      <c r="J229" s="49" t="s">
        <v>33</v>
      </c>
      <c r="K229" s="50">
        <v>79.900000000000006</v>
      </c>
      <c r="L229" s="51">
        <f ca="1">TRUNC((TODAY()-tBase[[#This Row],[Data Nascimento]])/365)</f>
        <v>38</v>
      </c>
      <c r="M229" s="49" t="str">
        <f ca="1">HLOOKUP(tBase[[#This Row],[Idade]],$P$7:$S$8,2,TRUE)</f>
        <v>35 - 44</v>
      </c>
    </row>
    <row r="230" spans="2:13">
      <c r="B230" s="48">
        <v>81841428890</v>
      </c>
      <c r="C230" s="49" t="s">
        <v>160</v>
      </c>
      <c r="D230" s="49" t="s">
        <v>43</v>
      </c>
      <c r="E230" s="49" t="s">
        <v>56</v>
      </c>
      <c r="F230" s="49" t="s">
        <v>59</v>
      </c>
      <c r="G230" s="49" t="s">
        <v>16</v>
      </c>
      <c r="H230" s="11">
        <v>23270</v>
      </c>
      <c r="I230" s="11" t="s">
        <v>17</v>
      </c>
      <c r="J230" s="49" t="s">
        <v>33</v>
      </c>
      <c r="K230" s="50">
        <v>79.900000000000006</v>
      </c>
      <c r="L230" s="51">
        <f ca="1">TRUNC((TODAY()-tBase[[#This Row],[Data Nascimento]])/365)</f>
        <v>62</v>
      </c>
      <c r="M230" s="49" t="str">
        <f ca="1">HLOOKUP(tBase[[#This Row],[Idade]],$P$7:$S$8,2,TRUE)</f>
        <v>54-70</v>
      </c>
    </row>
    <row r="231" spans="2:13">
      <c r="B231" s="48">
        <v>41395444838</v>
      </c>
      <c r="C231" s="49" t="s">
        <v>161</v>
      </c>
      <c r="D231" s="49" t="s">
        <v>43</v>
      </c>
      <c r="E231" s="49" t="s">
        <v>56</v>
      </c>
      <c r="F231" s="49" t="s">
        <v>15</v>
      </c>
      <c r="G231" s="49" t="s">
        <v>16</v>
      </c>
      <c r="H231" s="11">
        <v>20720</v>
      </c>
      <c r="I231" s="11" t="s">
        <v>17</v>
      </c>
      <c r="J231" s="49" t="s">
        <v>41</v>
      </c>
      <c r="K231" s="50">
        <v>29.9</v>
      </c>
      <c r="L231" s="51">
        <f ca="1">TRUNC((TODAY()-tBase[[#This Row],[Data Nascimento]])/365)</f>
        <v>69</v>
      </c>
      <c r="M231" s="49" t="str">
        <f ca="1">HLOOKUP(tBase[[#This Row],[Idade]],$P$7:$S$8,2,TRUE)</f>
        <v>54-70</v>
      </c>
    </row>
    <row r="232" spans="2:13">
      <c r="B232" s="48">
        <v>60525979542</v>
      </c>
      <c r="C232" s="49" t="s">
        <v>161</v>
      </c>
      <c r="D232" s="49" t="s">
        <v>43</v>
      </c>
      <c r="E232" s="49" t="s">
        <v>56</v>
      </c>
      <c r="F232" s="49" t="s">
        <v>15</v>
      </c>
      <c r="G232" s="49" t="s">
        <v>16</v>
      </c>
      <c r="H232" s="11">
        <v>34862</v>
      </c>
      <c r="I232" s="11" t="s">
        <v>54</v>
      </c>
      <c r="J232" s="49" t="s">
        <v>41</v>
      </c>
      <c r="K232" s="50">
        <v>29.9</v>
      </c>
      <c r="L232" s="51">
        <f ca="1">TRUNC((TODAY()-tBase[[#This Row],[Data Nascimento]])/365)</f>
        <v>30</v>
      </c>
      <c r="M232" s="49" t="str">
        <f ca="1">HLOOKUP(tBase[[#This Row],[Idade]],$P$7:$S$8,2,TRUE)</f>
        <v>24-34</v>
      </c>
    </row>
    <row r="233" spans="2:13">
      <c r="B233" s="48">
        <v>41158621693</v>
      </c>
      <c r="C233" s="49" t="s">
        <v>162</v>
      </c>
      <c r="D233" s="49" t="s">
        <v>43</v>
      </c>
      <c r="E233" s="49" t="s">
        <v>56</v>
      </c>
      <c r="F233" s="49" t="s">
        <v>40</v>
      </c>
      <c r="G233" s="49" t="s">
        <v>32</v>
      </c>
      <c r="H233" s="11">
        <v>29118</v>
      </c>
      <c r="I233" s="11" t="s">
        <v>19</v>
      </c>
      <c r="J233" s="49" t="s">
        <v>41</v>
      </c>
      <c r="K233" s="50">
        <v>29.9</v>
      </c>
      <c r="L233" s="51">
        <f ca="1">TRUNC((TODAY()-tBase[[#This Row],[Data Nascimento]])/365)</f>
        <v>46</v>
      </c>
      <c r="M233" s="49" t="str">
        <f ca="1">HLOOKUP(tBase[[#This Row],[Idade]],$P$7:$S$8,2,TRUE)</f>
        <v>44 - 54</v>
      </c>
    </row>
    <row r="234" spans="2:13">
      <c r="B234" s="48">
        <v>51711010382</v>
      </c>
      <c r="C234" s="49" t="s">
        <v>162</v>
      </c>
      <c r="D234" s="49" t="s">
        <v>43</v>
      </c>
      <c r="E234" s="49" t="s">
        <v>56</v>
      </c>
      <c r="F234" s="49" t="s">
        <v>40</v>
      </c>
      <c r="G234" s="49" t="s">
        <v>32</v>
      </c>
      <c r="H234" s="11">
        <v>27228</v>
      </c>
      <c r="I234" s="11" t="s">
        <v>19</v>
      </c>
      <c r="J234" s="49" t="s">
        <v>41</v>
      </c>
      <c r="K234" s="50">
        <v>29.9</v>
      </c>
      <c r="L234" s="51">
        <f ca="1">TRUNC((TODAY()-tBase[[#This Row],[Data Nascimento]])/365)</f>
        <v>51</v>
      </c>
      <c r="M234" s="49" t="str">
        <f ca="1">HLOOKUP(tBase[[#This Row],[Idade]],$P$7:$S$8,2,TRUE)</f>
        <v>44 - 54</v>
      </c>
    </row>
    <row r="235" spans="2:13">
      <c r="B235" s="48">
        <v>29608724794</v>
      </c>
      <c r="C235" s="49" t="s">
        <v>163</v>
      </c>
      <c r="D235" s="49" t="s">
        <v>43</v>
      </c>
      <c r="E235" s="49" t="s">
        <v>56</v>
      </c>
      <c r="F235" s="49" t="s">
        <v>38</v>
      </c>
      <c r="G235" s="49" t="s">
        <v>16</v>
      </c>
      <c r="H235" s="11">
        <v>30032</v>
      </c>
      <c r="I235" s="11" t="s">
        <v>19</v>
      </c>
      <c r="J235" s="49" t="s">
        <v>18</v>
      </c>
      <c r="K235" s="50">
        <v>9.9</v>
      </c>
      <c r="L235" s="51">
        <f ca="1">TRUNC((TODAY()-tBase[[#This Row],[Data Nascimento]])/365)</f>
        <v>44</v>
      </c>
      <c r="M235" s="49" t="str">
        <f ca="1">HLOOKUP(tBase[[#This Row],[Idade]],$P$7:$S$8,2,TRUE)</f>
        <v>44 - 54</v>
      </c>
    </row>
    <row r="236" spans="2:13">
      <c r="B236" s="48">
        <v>57327520985</v>
      </c>
      <c r="C236" s="49" t="s">
        <v>163</v>
      </c>
      <c r="D236" s="49" t="s">
        <v>43</v>
      </c>
      <c r="E236" s="49" t="s">
        <v>56</v>
      </c>
      <c r="F236" s="49" t="s">
        <v>38</v>
      </c>
      <c r="G236" s="49" t="s">
        <v>16</v>
      </c>
      <c r="H236" s="11">
        <v>32451</v>
      </c>
      <c r="I236" s="11" t="s">
        <v>21</v>
      </c>
      <c r="J236" s="49" t="s">
        <v>18</v>
      </c>
      <c r="K236" s="50">
        <v>9.9</v>
      </c>
      <c r="L236" s="51">
        <f ca="1">TRUNC((TODAY()-tBase[[#This Row],[Data Nascimento]])/365)</f>
        <v>37</v>
      </c>
      <c r="M236" s="49" t="str">
        <f ca="1">HLOOKUP(tBase[[#This Row],[Idade]],$P$7:$S$8,2,TRUE)</f>
        <v>35 - 44</v>
      </c>
    </row>
    <row r="237" spans="2:13">
      <c r="B237" s="48">
        <v>39205147195</v>
      </c>
      <c r="C237" s="49" t="s">
        <v>164</v>
      </c>
      <c r="D237" s="49" t="s">
        <v>43</v>
      </c>
      <c r="E237" s="49" t="s">
        <v>56</v>
      </c>
      <c r="F237" s="49" t="s">
        <v>38</v>
      </c>
      <c r="G237" s="49" t="s">
        <v>16</v>
      </c>
      <c r="H237" s="11">
        <v>20599</v>
      </c>
      <c r="I237" s="11" t="s">
        <v>17</v>
      </c>
      <c r="J237" s="49" t="s">
        <v>44</v>
      </c>
      <c r="K237" s="50">
        <v>35.9</v>
      </c>
      <c r="L237" s="51">
        <f ca="1">TRUNC((TODAY()-tBase[[#This Row],[Data Nascimento]])/365)</f>
        <v>69</v>
      </c>
      <c r="M237" s="49" t="str">
        <f ca="1">HLOOKUP(tBase[[#This Row],[Idade]],$P$7:$S$8,2,TRUE)</f>
        <v>54-70</v>
      </c>
    </row>
    <row r="238" spans="2:13">
      <c r="B238" s="48">
        <v>71629613903</v>
      </c>
      <c r="C238" s="49" t="s">
        <v>164</v>
      </c>
      <c r="D238" s="49" t="s">
        <v>43</v>
      </c>
      <c r="E238" s="49" t="s">
        <v>56</v>
      </c>
      <c r="F238" s="49" t="s">
        <v>38</v>
      </c>
      <c r="G238" s="49" t="s">
        <v>16</v>
      </c>
      <c r="H238" s="11">
        <v>36489</v>
      </c>
      <c r="I238" s="11" t="s">
        <v>19</v>
      </c>
      <c r="J238" s="49" t="s">
        <v>44</v>
      </c>
      <c r="K238" s="50">
        <v>35.9</v>
      </c>
      <c r="L238" s="51">
        <f ca="1">TRUNC((TODAY()-tBase[[#This Row],[Data Nascimento]])/365)</f>
        <v>26</v>
      </c>
      <c r="M238" s="49" t="str">
        <f ca="1">HLOOKUP(tBase[[#This Row],[Idade]],$P$7:$S$8,2,TRUE)</f>
        <v>24-34</v>
      </c>
    </row>
    <row r="239" spans="2:13">
      <c r="B239" s="48">
        <v>23396488132</v>
      </c>
      <c r="C239" s="49" t="s">
        <v>165</v>
      </c>
      <c r="D239" s="49" t="s">
        <v>43</v>
      </c>
      <c r="E239" s="49" t="s">
        <v>56</v>
      </c>
      <c r="F239" s="49" t="s">
        <v>38</v>
      </c>
      <c r="G239" s="49" t="s">
        <v>16</v>
      </c>
      <c r="H239" s="11">
        <v>34390</v>
      </c>
      <c r="I239" s="11" t="s">
        <v>19</v>
      </c>
      <c r="J239" s="49" t="s">
        <v>44</v>
      </c>
      <c r="K239" s="50">
        <v>35.9</v>
      </c>
      <c r="L239" s="51">
        <f ca="1">TRUNC((TODAY()-tBase[[#This Row],[Data Nascimento]])/365)</f>
        <v>32</v>
      </c>
      <c r="M239" s="49" t="str">
        <f ca="1">HLOOKUP(tBase[[#This Row],[Idade]],$P$7:$S$8,2,TRUE)</f>
        <v>24-34</v>
      </c>
    </row>
    <row r="240" spans="2:13">
      <c r="B240" s="48">
        <v>80343263498</v>
      </c>
      <c r="C240" s="49" t="s">
        <v>165</v>
      </c>
      <c r="D240" s="49" t="s">
        <v>43</v>
      </c>
      <c r="E240" s="49" t="s">
        <v>56</v>
      </c>
      <c r="F240" s="49" t="s">
        <v>38</v>
      </c>
      <c r="G240" s="49" t="s">
        <v>16</v>
      </c>
      <c r="H240" s="11">
        <v>23254</v>
      </c>
      <c r="I240" s="11" t="s">
        <v>36</v>
      </c>
      <c r="J240" s="49" t="s">
        <v>44</v>
      </c>
      <c r="K240" s="50">
        <v>35.9</v>
      </c>
      <c r="L240" s="51">
        <f ca="1">TRUNC((TODAY()-tBase[[#This Row],[Data Nascimento]])/365)</f>
        <v>62</v>
      </c>
      <c r="M240" s="49" t="str">
        <f ca="1">HLOOKUP(tBase[[#This Row],[Idade]],$P$7:$S$8,2,TRUE)</f>
        <v>54-70</v>
      </c>
    </row>
    <row r="241" spans="2:13">
      <c r="B241" s="48">
        <v>33391594252</v>
      </c>
      <c r="C241" s="49" t="s">
        <v>166</v>
      </c>
      <c r="D241" s="49" t="s">
        <v>43</v>
      </c>
      <c r="E241" s="49" t="s">
        <v>56</v>
      </c>
      <c r="F241" s="49" t="s">
        <v>31</v>
      </c>
      <c r="G241" s="49" t="s">
        <v>32</v>
      </c>
      <c r="H241" s="11">
        <v>28577</v>
      </c>
      <c r="I241" s="11" t="s">
        <v>17</v>
      </c>
      <c r="J241" s="49" t="s">
        <v>33</v>
      </c>
      <c r="K241" s="50">
        <v>79.900000000000006</v>
      </c>
      <c r="L241" s="51">
        <f ca="1">TRUNC((TODAY()-tBase[[#This Row],[Data Nascimento]])/365)</f>
        <v>48</v>
      </c>
      <c r="M241" s="49" t="str">
        <f ca="1">HLOOKUP(tBase[[#This Row],[Idade]],$P$7:$S$8,2,TRUE)</f>
        <v>44 - 54</v>
      </c>
    </row>
    <row r="242" spans="2:13">
      <c r="B242" s="48">
        <v>39316864102</v>
      </c>
      <c r="C242" s="49" t="s">
        <v>166</v>
      </c>
      <c r="D242" s="49" t="s">
        <v>43</v>
      </c>
      <c r="E242" s="49" t="s">
        <v>56</v>
      </c>
      <c r="F242" s="49" t="s">
        <v>31</v>
      </c>
      <c r="G242" s="49" t="s">
        <v>32</v>
      </c>
      <c r="H242" s="11">
        <v>29399</v>
      </c>
      <c r="I242" s="11" t="s">
        <v>17</v>
      </c>
      <c r="J242" s="49" t="s">
        <v>33</v>
      </c>
      <c r="K242" s="50">
        <v>79.900000000000006</v>
      </c>
      <c r="L242" s="51">
        <f ca="1">TRUNC((TODAY()-tBase[[#This Row],[Data Nascimento]])/365)</f>
        <v>45</v>
      </c>
      <c r="M242" s="49" t="str">
        <f ca="1">HLOOKUP(tBase[[#This Row],[Idade]],$P$7:$S$8,2,TRUE)</f>
        <v>44 - 54</v>
      </c>
    </row>
    <row r="243" spans="2:13">
      <c r="B243" s="48">
        <v>48465087625</v>
      </c>
      <c r="C243" s="49" t="s">
        <v>167</v>
      </c>
      <c r="D243" s="49" t="s">
        <v>43</v>
      </c>
      <c r="E243" s="49" t="s">
        <v>56</v>
      </c>
      <c r="F243" s="49" t="s">
        <v>59</v>
      </c>
      <c r="G243" s="49" t="s">
        <v>16</v>
      </c>
      <c r="H243" s="11">
        <v>33148</v>
      </c>
      <c r="I243" s="11" t="s">
        <v>24</v>
      </c>
      <c r="J243" s="49" t="s">
        <v>44</v>
      </c>
      <c r="K243" s="50">
        <v>35.9</v>
      </c>
      <c r="L243" s="51">
        <f ca="1">TRUNC((TODAY()-tBase[[#This Row],[Data Nascimento]])/365)</f>
        <v>35</v>
      </c>
      <c r="M243" s="49" t="str">
        <f ca="1">HLOOKUP(tBase[[#This Row],[Idade]],$P$7:$S$8,2,TRUE)</f>
        <v>35 - 44</v>
      </c>
    </row>
    <row r="244" spans="2:13">
      <c r="B244" s="48">
        <v>78203672011</v>
      </c>
      <c r="C244" s="49" t="s">
        <v>167</v>
      </c>
      <c r="D244" s="49" t="s">
        <v>43</v>
      </c>
      <c r="E244" s="49" t="s">
        <v>56</v>
      </c>
      <c r="F244" s="49" t="s">
        <v>59</v>
      </c>
      <c r="G244" s="49" t="s">
        <v>16</v>
      </c>
      <c r="H244" s="11">
        <v>28970</v>
      </c>
      <c r="I244" s="11" t="s">
        <v>19</v>
      </c>
      <c r="J244" s="49" t="s">
        <v>44</v>
      </c>
      <c r="K244" s="50">
        <v>35.9</v>
      </c>
      <c r="L244" s="51">
        <f ca="1">TRUNC((TODAY()-tBase[[#This Row],[Data Nascimento]])/365)</f>
        <v>46</v>
      </c>
      <c r="M244" s="49" t="str">
        <f ca="1">HLOOKUP(tBase[[#This Row],[Idade]],$P$7:$S$8,2,TRUE)</f>
        <v>44 - 54</v>
      </c>
    </row>
    <row r="245" spans="2:13">
      <c r="B245" s="48">
        <v>22502656506</v>
      </c>
      <c r="C245" s="49" t="s">
        <v>168</v>
      </c>
      <c r="D245" s="49" t="s">
        <v>43</v>
      </c>
      <c r="E245" s="49" t="s">
        <v>56</v>
      </c>
      <c r="F245" s="49" t="s">
        <v>40</v>
      </c>
      <c r="G245" s="49" t="s">
        <v>16</v>
      </c>
      <c r="H245" s="11">
        <v>34035</v>
      </c>
      <c r="I245" s="11" t="s">
        <v>17</v>
      </c>
      <c r="J245" s="49" t="s">
        <v>41</v>
      </c>
      <c r="K245" s="50">
        <v>29.9</v>
      </c>
      <c r="L245" s="51">
        <f ca="1">TRUNC((TODAY()-tBase[[#This Row],[Data Nascimento]])/365)</f>
        <v>33</v>
      </c>
      <c r="M245" s="49" t="str">
        <f ca="1">HLOOKUP(tBase[[#This Row],[Idade]],$P$7:$S$8,2,TRUE)</f>
        <v>24-34</v>
      </c>
    </row>
    <row r="246" spans="2:13">
      <c r="B246" s="48">
        <v>70125809974</v>
      </c>
      <c r="C246" s="49" t="s">
        <v>168</v>
      </c>
      <c r="D246" s="49" t="s">
        <v>43</v>
      </c>
      <c r="E246" s="49" t="s">
        <v>56</v>
      </c>
      <c r="F246" s="49" t="s">
        <v>40</v>
      </c>
      <c r="G246" s="49" t="s">
        <v>16</v>
      </c>
      <c r="H246" s="11">
        <v>25060</v>
      </c>
      <c r="I246" s="11" t="s">
        <v>17</v>
      </c>
      <c r="J246" s="49" t="s">
        <v>41</v>
      </c>
      <c r="K246" s="50">
        <v>29.9</v>
      </c>
      <c r="L246" s="51">
        <f ca="1">TRUNC((TODAY()-tBase[[#This Row],[Data Nascimento]])/365)</f>
        <v>57</v>
      </c>
      <c r="M246" s="49" t="str">
        <f ca="1">HLOOKUP(tBase[[#This Row],[Idade]],$P$7:$S$8,2,TRUE)</f>
        <v>54-70</v>
      </c>
    </row>
    <row r="247" spans="2:13">
      <c r="B247" s="48">
        <v>39357979099</v>
      </c>
      <c r="C247" s="49" t="s">
        <v>169</v>
      </c>
      <c r="D247" s="49" t="s">
        <v>43</v>
      </c>
      <c r="E247" s="49" t="s">
        <v>56</v>
      </c>
      <c r="F247" s="49" t="s">
        <v>38</v>
      </c>
      <c r="G247" s="49" t="s">
        <v>16</v>
      </c>
      <c r="H247" s="11">
        <v>28224</v>
      </c>
      <c r="I247" s="11" t="s">
        <v>17</v>
      </c>
      <c r="J247" s="49" t="s">
        <v>18</v>
      </c>
      <c r="K247" s="50">
        <v>9.9</v>
      </c>
      <c r="L247" s="51">
        <f ca="1">TRUNC((TODAY()-tBase[[#This Row],[Data Nascimento]])/365)</f>
        <v>49</v>
      </c>
      <c r="M247" s="49" t="str">
        <f ca="1">HLOOKUP(tBase[[#This Row],[Idade]],$P$7:$S$8,2,TRUE)</f>
        <v>44 - 54</v>
      </c>
    </row>
    <row r="248" spans="2:13">
      <c r="B248" s="48">
        <v>43329901726</v>
      </c>
      <c r="C248" s="49" t="s">
        <v>169</v>
      </c>
      <c r="D248" s="49" t="s">
        <v>43</v>
      </c>
      <c r="E248" s="49" t="s">
        <v>56</v>
      </c>
      <c r="F248" s="49" t="s">
        <v>38</v>
      </c>
      <c r="G248" s="49" t="s">
        <v>16</v>
      </c>
      <c r="H248" s="11">
        <v>24537</v>
      </c>
      <c r="I248" s="11" t="s">
        <v>17</v>
      </c>
      <c r="J248" s="49" t="s">
        <v>18</v>
      </c>
      <c r="K248" s="50">
        <v>9.9</v>
      </c>
      <c r="L248" s="51">
        <f ca="1">TRUNC((TODAY()-tBase[[#This Row],[Data Nascimento]])/365)</f>
        <v>59</v>
      </c>
      <c r="M248" s="49" t="str">
        <f ca="1">HLOOKUP(tBase[[#This Row],[Idade]],$P$7:$S$8,2,TRUE)</f>
        <v>54-70</v>
      </c>
    </row>
    <row r="249" spans="2:13">
      <c r="B249" s="48">
        <v>26887944990</v>
      </c>
      <c r="C249" s="49" t="s">
        <v>170</v>
      </c>
      <c r="D249" s="49" t="s">
        <v>43</v>
      </c>
      <c r="E249" s="49" t="s">
        <v>56</v>
      </c>
      <c r="F249" s="49" t="s">
        <v>59</v>
      </c>
      <c r="G249" s="49" t="s">
        <v>16</v>
      </c>
      <c r="H249" s="11">
        <v>25897</v>
      </c>
      <c r="I249" s="11" t="s">
        <v>19</v>
      </c>
      <c r="J249" s="49" t="s">
        <v>44</v>
      </c>
      <c r="K249" s="50">
        <v>35.9</v>
      </c>
      <c r="L249" s="51">
        <f ca="1">TRUNC((TODAY()-tBase[[#This Row],[Data Nascimento]])/365)</f>
        <v>55</v>
      </c>
      <c r="M249" s="49" t="str">
        <f ca="1">HLOOKUP(tBase[[#This Row],[Idade]],$P$7:$S$8,2,TRUE)</f>
        <v>54-70</v>
      </c>
    </row>
    <row r="250" spans="2:13">
      <c r="B250" s="48">
        <v>94266497658</v>
      </c>
      <c r="C250" s="49" t="s">
        <v>170</v>
      </c>
      <c r="D250" s="49" t="s">
        <v>43</v>
      </c>
      <c r="E250" s="49" t="s">
        <v>56</v>
      </c>
      <c r="F250" s="49" t="s">
        <v>59</v>
      </c>
      <c r="G250" s="49" t="s">
        <v>16</v>
      </c>
      <c r="H250" s="11">
        <v>33715</v>
      </c>
      <c r="I250" s="11" t="s">
        <v>19</v>
      </c>
      <c r="J250" s="49" t="s">
        <v>44</v>
      </c>
      <c r="K250" s="50">
        <v>35.9</v>
      </c>
      <c r="L250" s="51">
        <f ca="1">TRUNC((TODAY()-tBase[[#This Row],[Data Nascimento]])/365)</f>
        <v>33</v>
      </c>
      <c r="M250" s="49" t="str">
        <f ca="1">HLOOKUP(tBase[[#This Row],[Idade]],$P$7:$S$8,2,TRUE)</f>
        <v>24-34</v>
      </c>
    </row>
    <row r="251" spans="2:13">
      <c r="B251" s="48">
        <v>30904162810</v>
      </c>
      <c r="C251" s="49" t="s">
        <v>171</v>
      </c>
      <c r="D251" s="49" t="s">
        <v>43</v>
      </c>
      <c r="E251" s="49" t="s">
        <v>56</v>
      </c>
      <c r="F251" s="49" t="s">
        <v>15</v>
      </c>
      <c r="G251" s="49" t="s">
        <v>16</v>
      </c>
      <c r="H251" s="11">
        <v>25842</v>
      </c>
      <c r="I251" s="11" t="s">
        <v>17</v>
      </c>
      <c r="J251" s="49" t="s">
        <v>44</v>
      </c>
      <c r="K251" s="50">
        <v>35.9</v>
      </c>
      <c r="L251" s="51">
        <f ca="1">TRUNC((TODAY()-tBase[[#This Row],[Data Nascimento]])/365)</f>
        <v>55</v>
      </c>
      <c r="M251" s="49" t="str">
        <f ca="1">HLOOKUP(tBase[[#This Row],[Idade]],$P$7:$S$8,2,TRUE)</f>
        <v>54-70</v>
      </c>
    </row>
    <row r="252" spans="2:13">
      <c r="B252" s="48">
        <v>87196399314</v>
      </c>
      <c r="C252" s="49" t="s">
        <v>171</v>
      </c>
      <c r="D252" s="49" t="s">
        <v>43</v>
      </c>
      <c r="E252" s="49" t="s">
        <v>56</v>
      </c>
      <c r="F252" s="49" t="s">
        <v>15</v>
      </c>
      <c r="G252" s="49" t="s">
        <v>16</v>
      </c>
      <c r="H252" s="11">
        <v>23107</v>
      </c>
      <c r="I252" s="11" t="s">
        <v>24</v>
      </c>
      <c r="J252" s="49" t="s">
        <v>44</v>
      </c>
      <c r="K252" s="50">
        <v>35.9</v>
      </c>
      <c r="L252" s="51">
        <f ca="1">TRUNC((TODAY()-tBase[[#This Row],[Data Nascimento]])/365)</f>
        <v>63</v>
      </c>
      <c r="M252" s="49" t="str">
        <f ca="1">HLOOKUP(tBase[[#This Row],[Idade]],$P$7:$S$8,2,TRUE)</f>
        <v>54-70</v>
      </c>
    </row>
    <row r="253" spans="2:13">
      <c r="B253" s="48">
        <v>38480201900</v>
      </c>
      <c r="C253" s="49" t="s">
        <v>172</v>
      </c>
      <c r="D253" s="49" t="s">
        <v>43</v>
      </c>
      <c r="E253" s="49" t="s">
        <v>56</v>
      </c>
      <c r="F253" s="49" t="s">
        <v>31</v>
      </c>
      <c r="G253" s="49" t="s">
        <v>32</v>
      </c>
      <c r="H253" s="11">
        <v>30429</v>
      </c>
      <c r="I253" s="11" t="s">
        <v>54</v>
      </c>
      <c r="J253" s="49" t="s">
        <v>33</v>
      </c>
      <c r="K253" s="50">
        <v>79.900000000000006</v>
      </c>
      <c r="L253" s="51">
        <f ca="1">TRUNC((TODAY()-tBase[[#This Row],[Data Nascimento]])/365)</f>
        <v>42</v>
      </c>
      <c r="M253" s="49" t="str">
        <f ca="1">HLOOKUP(tBase[[#This Row],[Idade]],$P$7:$S$8,2,TRUE)</f>
        <v>35 - 44</v>
      </c>
    </row>
    <row r="254" spans="2:13">
      <c r="B254" s="48">
        <v>42678380444</v>
      </c>
      <c r="C254" s="49" t="s">
        <v>172</v>
      </c>
      <c r="D254" s="49" t="s">
        <v>43</v>
      </c>
      <c r="E254" s="49" t="s">
        <v>56</v>
      </c>
      <c r="F254" s="49" t="s">
        <v>31</v>
      </c>
      <c r="G254" s="49" t="s">
        <v>32</v>
      </c>
      <c r="H254" s="11">
        <v>28309</v>
      </c>
      <c r="I254" s="11" t="s">
        <v>36</v>
      </c>
      <c r="J254" s="49" t="s">
        <v>33</v>
      </c>
      <c r="K254" s="50">
        <v>79.900000000000006</v>
      </c>
      <c r="L254" s="51">
        <f ca="1">TRUNC((TODAY()-tBase[[#This Row],[Data Nascimento]])/365)</f>
        <v>48</v>
      </c>
      <c r="M254" s="49" t="str">
        <f ca="1">HLOOKUP(tBase[[#This Row],[Idade]],$P$7:$S$8,2,TRUE)</f>
        <v>44 - 54</v>
      </c>
    </row>
    <row r="255" spans="2:13">
      <c r="B255" s="48">
        <v>30353673725</v>
      </c>
      <c r="C255" s="49" t="s">
        <v>173</v>
      </c>
      <c r="D255" s="49" t="s">
        <v>43</v>
      </c>
      <c r="E255" s="49" t="s">
        <v>56</v>
      </c>
      <c r="F255" s="49" t="s">
        <v>31</v>
      </c>
      <c r="G255" s="49" t="s">
        <v>32</v>
      </c>
      <c r="H255" s="11">
        <v>34963</v>
      </c>
      <c r="I255" s="11" t="s">
        <v>36</v>
      </c>
      <c r="J255" s="49" t="s">
        <v>33</v>
      </c>
      <c r="K255" s="50">
        <v>79.900000000000006</v>
      </c>
      <c r="L255" s="51">
        <f ca="1">TRUNC((TODAY()-tBase[[#This Row],[Data Nascimento]])/365)</f>
        <v>30</v>
      </c>
      <c r="M255" s="49" t="str">
        <f ca="1">HLOOKUP(tBase[[#This Row],[Idade]],$P$7:$S$8,2,TRUE)</f>
        <v>24-34</v>
      </c>
    </row>
    <row r="256" spans="2:13">
      <c r="B256" s="48">
        <v>50008008920</v>
      </c>
      <c r="C256" s="49" t="s">
        <v>174</v>
      </c>
      <c r="D256" s="49" t="s">
        <v>43</v>
      </c>
      <c r="E256" s="49" t="s">
        <v>56</v>
      </c>
      <c r="F256" s="49" t="s">
        <v>31</v>
      </c>
      <c r="G256" s="49" t="s">
        <v>16</v>
      </c>
      <c r="H256" s="11">
        <v>22355</v>
      </c>
      <c r="I256" s="11" t="s">
        <v>21</v>
      </c>
      <c r="J256" s="49" t="s">
        <v>33</v>
      </c>
      <c r="K256" s="50">
        <v>79.900000000000006</v>
      </c>
      <c r="L256" s="51">
        <f ca="1">TRUNC((TODAY()-tBase[[#This Row],[Data Nascimento]])/365)</f>
        <v>65</v>
      </c>
      <c r="M256" s="49" t="str">
        <f ca="1">HLOOKUP(tBase[[#This Row],[Idade]],$P$7:$S$8,2,TRUE)</f>
        <v>54-70</v>
      </c>
    </row>
    <row r="257" spans="2:13">
      <c r="B257" s="48">
        <v>84913009166</v>
      </c>
      <c r="C257" s="49" t="s">
        <v>174</v>
      </c>
      <c r="D257" s="49" t="s">
        <v>43</v>
      </c>
      <c r="E257" s="49" t="s">
        <v>56</v>
      </c>
      <c r="F257" s="49" t="s">
        <v>31</v>
      </c>
      <c r="G257" s="49" t="s">
        <v>16</v>
      </c>
      <c r="H257" s="11">
        <v>31861</v>
      </c>
      <c r="I257" s="11" t="s">
        <v>24</v>
      </c>
      <c r="J257" s="49" t="s">
        <v>33</v>
      </c>
      <c r="K257" s="50">
        <v>79.900000000000006</v>
      </c>
      <c r="L257" s="51">
        <f ca="1">TRUNC((TODAY()-tBase[[#This Row],[Data Nascimento]])/365)</f>
        <v>39</v>
      </c>
      <c r="M257" s="49" t="str">
        <f ca="1">HLOOKUP(tBase[[#This Row],[Idade]],$P$7:$S$8,2,TRUE)</f>
        <v>35 - 44</v>
      </c>
    </row>
    <row r="258" spans="2:13">
      <c r="B258" s="48">
        <v>22251128276</v>
      </c>
      <c r="C258" s="49" t="s">
        <v>175</v>
      </c>
      <c r="D258" s="49" t="s">
        <v>43</v>
      </c>
      <c r="E258" s="49" t="s">
        <v>56</v>
      </c>
      <c r="F258" s="49" t="s">
        <v>62</v>
      </c>
      <c r="G258" s="49" t="s">
        <v>16</v>
      </c>
      <c r="H258" s="11">
        <v>21118</v>
      </c>
      <c r="I258" s="11" t="s">
        <v>17</v>
      </c>
      <c r="J258" s="49" t="s">
        <v>41</v>
      </c>
      <c r="K258" s="50">
        <v>29.9</v>
      </c>
      <c r="L258" s="51">
        <f ca="1">TRUNC((TODAY()-tBase[[#This Row],[Data Nascimento]])/365)</f>
        <v>68</v>
      </c>
      <c r="M258" s="49" t="str">
        <f ca="1">HLOOKUP(tBase[[#This Row],[Idade]],$P$7:$S$8,2,TRUE)</f>
        <v>54-70</v>
      </c>
    </row>
    <row r="259" spans="2:13">
      <c r="B259" s="48">
        <v>58903912727</v>
      </c>
      <c r="C259" s="49" t="s">
        <v>175</v>
      </c>
      <c r="D259" s="49" t="s">
        <v>43</v>
      </c>
      <c r="E259" s="49" t="s">
        <v>56</v>
      </c>
      <c r="F259" s="49" t="s">
        <v>62</v>
      </c>
      <c r="G259" s="49" t="s">
        <v>16</v>
      </c>
      <c r="H259" s="11">
        <v>26976</v>
      </c>
      <c r="I259" s="11" t="s">
        <v>72</v>
      </c>
      <c r="J259" s="49" t="s">
        <v>41</v>
      </c>
      <c r="K259" s="50">
        <v>29.9</v>
      </c>
      <c r="L259" s="51">
        <f ca="1">TRUNC((TODAY()-tBase[[#This Row],[Data Nascimento]])/365)</f>
        <v>52</v>
      </c>
      <c r="M259" s="49" t="str">
        <f ca="1">HLOOKUP(tBase[[#This Row],[Idade]],$P$7:$S$8,2,TRUE)</f>
        <v>44 - 54</v>
      </c>
    </row>
    <row r="260" spans="2:13">
      <c r="B260" s="48">
        <v>30468143545</v>
      </c>
      <c r="C260" s="49" t="s">
        <v>176</v>
      </c>
      <c r="D260" s="49" t="s">
        <v>43</v>
      </c>
      <c r="E260" s="49" t="s">
        <v>56</v>
      </c>
      <c r="F260" s="49" t="s">
        <v>31</v>
      </c>
      <c r="G260" s="49" t="s">
        <v>32</v>
      </c>
      <c r="H260" s="11">
        <v>31211</v>
      </c>
      <c r="I260" s="11" t="s">
        <v>19</v>
      </c>
      <c r="J260" s="49" t="s">
        <v>33</v>
      </c>
      <c r="K260" s="50">
        <v>79.900000000000006</v>
      </c>
      <c r="L260" s="51">
        <f ca="1">TRUNC((TODAY()-tBase[[#This Row],[Data Nascimento]])/365)</f>
        <v>40</v>
      </c>
      <c r="M260" s="49" t="str">
        <f ca="1">HLOOKUP(tBase[[#This Row],[Idade]],$P$7:$S$8,2,TRUE)</f>
        <v>35 - 44</v>
      </c>
    </row>
    <row r="261" spans="2:13">
      <c r="B261" s="48">
        <v>75490586916</v>
      </c>
      <c r="C261" s="49" t="s">
        <v>176</v>
      </c>
      <c r="D261" s="49" t="s">
        <v>43</v>
      </c>
      <c r="E261" s="49" t="s">
        <v>56</v>
      </c>
      <c r="F261" s="49" t="s">
        <v>31</v>
      </c>
      <c r="G261" s="49" t="s">
        <v>32</v>
      </c>
      <c r="H261" s="11">
        <v>32641</v>
      </c>
      <c r="I261" s="11" t="s">
        <v>46</v>
      </c>
      <c r="J261" s="49" t="s">
        <v>33</v>
      </c>
      <c r="K261" s="50">
        <v>79.900000000000006</v>
      </c>
      <c r="L261" s="51">
        <f ca="1">TRUNC((TODAY()-tBase[[#This Row],[Data Nascimento]])/365)</f>
        <v>36</v>
      </c>
      <c r="M261" s="49" t="str">
        <f ca="1">HLOOKUP(tBase[[#This Row],[Idade]],$P$7:$S$8,2,TRUE)</f>
        <v>35 - 44</v>
      </c>
    </row>
    <row r="262" spans="2:13">
      <c r="B262" s="48">
        <v>39161320210</v>
      </c>
      <c r="C262" s="49" t="s">
        <v>177</v>
      </c>
      <c r="D262" s="49" t="s">
        <v>43</v>
      </c>
      <c r="E262" s="49" t="s">
        <v>56</v>
      </c>
      <c r="F262" s="49" t="s">
        <v>15</v>
      </c>
      <c r="G262" s="49" t="s">
        <v>16</v>
      </c>
      <c r="H262" s="11">
        <v>31562</v>
      </c>
      <c r="I262" s="11" t="s">
        <v>17</v>
      </c>
      <c r="J262" s="49" t="s">
        <v>18</v>
      </c>
      <c r="K262" s="50">
        <v>9.9</v>
      </c>
      <c r="L262" s="51">
        <f ca="1">TRUNC((TODAY()-tBase[[#This Row],[Data Nascimento]])/365)</f>
        <v>39</v>
      </c>
      <c r="M262" s="49" t="str">
        <f ca="1">HLOOKUP(tBase[[#This Row],[Idade]],$P$7:$S$8,2,TRUE)</f>
        <v>35 - 44</v>
      </c>
    </row>
    <row r="263" spans="2:13">
      <c r="B263" s="48">
        <v>51648535772</v>
      </c>
      <c r="C263" s="49" t="s">
        <v>177</v>
      </c>
      <c r="D263" s="49" t="s">
        <v>43</v>
      </c>
      <c r="E263" s="49" t="s">
        <v>56</v>
      </c>
      <c r="F263" s="49" t="s">
        <v>15</v>
      </c>
      <c r="G263" s="49" t="s">
        <v>16</v>
      </c>
      <c r="H263" s="11">
        <v>23510</v>
      </c>
      <c r="I263" s="11" t="s">
        <v>19</v>
      </c>
      <c r="J263" s="49" t="s">
        <v>18</v>
      </c>
      <c r="K263" s="50">
        <v>9.9</v>
      </c>
      <c r="L263" s="51">
        <f ca="1">TRUNC((TODAY()-tBase[[#This Row],[Data Nascimento]])/365)</f>
        <v>61</v>
      </c>
      <c r="M263" s="49" t="str">
        <f ca="1">HLOOKUP(tBase[[#This Row],[Idade]],$P$7:$S$8,2,TRUE)</f>
        <v>54-70</v>
      </c>
    </row>
    <row r="264" spans="2:13">
      <c r="B264" s="48">
        <v>43008928497</v>
      </c>
      <c r="C264" s="49" t="s">
        <v>178</v>
      </c>
      <c r="D264" s="49" t="s">
        <v>43</v>
      </c>
      <c r="E264" s="49" t="s">
        <v>56</v>
      </c>
      <c r="F264" s="49" t="s">
        <v>15</v>
      </c>
      <c r="G264" s="49" t="s">
        <v>32</v>
      </c>
      <c r="H264" s="11">
        <v>32097</v>
      </c>
      <c r="I264" s="11" t="s">
        <v>17</v>
      </c>
      <c r="J264" s="49" t="s">
        <v>18</v>
      </c>
      <c r="K264" s="50">
        <v>9.9</v>
      </c>
      <c r="L264" s="51">
        <f ca="1">TRUNC((TODAY()-tBase[[#This Row],[Data Nascimento]])/365)</f>
        <v>38</v>
      </c>
      <c r="M264" s="49" t="str">
        <f ca="1">HLOOKUP(tBase[[#This Row],[Idade]],$P$7:$S$8,2,TRUE)</f>
        <v>35 - 44</v>
      </c>
    </row>
    <row r="265" spans="2:13">
      <c r="B265" s="48">
        <v>47129833052</v>
      </c>
      <c r="C265" s="49" t="s">
        <v>178</v>
      </c>
      <c r="D265" s="49" t="s">
        <v>43</v>
      </c>
      <c r="E265" s="49" t="s">
        <v>56</v>
      </c>
      <c r="F265" s="49" t="s">
        <v>15</v>
      </c>
      <c r="G265" s="49" t="s">
        <v>32</v>
      </c>
      <c r="H265" s="11">
        <v>24724</v>
      </c>
      <c r="I265" s="11" t="s">
        <v>17</v>
      </c>
      <c r="J265" s="49" t="s">
        <v>18</v>
      </c>
      <c r="K265" s="50">
        <v>9.9</v>
      </c>
      <c r="L265" s="51">
        <f ca="1">TRUNC((TODAY()-tBase[[#This Row],[Data Nascimento]])/365)</f>
        <v>58</v>
      </c>
      <c r="M265" s="49" t="str">
        <f ca="1">HLOOKUP(tBase[[#This Row],[Idade]],$P$7:$S$8,2,TRUE)</f>
        <v>54-70</v>
      </c>
    </row>
    <row r="266" spans="2:13">
      <c r="B266" s="48">
        <v>28452088771</v>
      </c>
      <c r="C266" s="49" t="s">
        <v>179</v>
      </c>
      <c r="D266" s="49" t="s">
        <v>43</v>
      </c>
      <c r="E266" s="49" t="s">
        <v>56</v>
      </c>
      <c r="F266" s="49" t="s">
        <v>38</v>
      </c>
      <c r="G266" s="49" t="s">
        <v>16</v>
      </c>
      <c r="H266" s="11">
        <v>30501</v>
      </c>
      <c r="I266" s="11" t="s">
        <v>46</v>
      </c>
      <c r="J266" s="49" t="s">
        <v>18</v>
      </c>
      <c r="K266" s="50">
        <v>9.9</v>
      </c>
      <c r="L266" s="51">
        <f ca="1">TRUNC((TODAY()-tBase[[#This Row],[Data Nascimento]])/365)</f>
        <v>42</v>
      </c>
      <c r="M266" s="49" t="str">
        <f ca="1">HLOOKUP(tBase[[#This Row],[Idade]],$P$7:$S$8,2,TRUE)</f>
        <v>35 - 44</v>
      </c>
    </row>
    <row r="267" spans="2:13">
      <c r="B267" s="48">
        <v>37625766880</v>
      </c>
      <c r="C267" s="49" t="s">
        <v>179</v>
      </c>
      <c r="D267" s="49" t="s">
        <v>43</v>
      </c>
      <c r="E267" s="49" t="s">
        <v>56</v>
      </c>
      <c r="F267" s="49" t="s">
        <v>38</v>
      </c>
      <c r="G267" s="49" t="s">
        <v>16</v>
      </c>
      <c r="H267" s="11">
        <v>23145</v>
      </c>
      <c r="I267" s="11" t="s">
        <v>17</v>
      </c>
      <c r="J267" s="49" t="s">
        <v>18</v>
      </c>
      <c r="K267" s="50">
        <v>9.9</v>
      </c>
      <c r="L267" s="51">
        <f ca="1">TRUNC((TODAY()-tBase[[#This Row],[Data Nascimento]])/365)</f>
        <v>62</v>
      </c>
      <c r="M267" s="49" t="str">
        <f ca="1">HLOOKUP(tBase[[#This Row],[Idade]],$P$7:$S$8,2,TRUE)</f>
        <v>54-70</v>
      </c>
    </row>
    <row r="268" spans="2:13">
      <c r="B268" s="48">
        <v>44780102027</v>
      </c>
      <c r="C268" s="49" t="s">
        <v>63</v>
      </c>
      <c r="D268" s="49" t="s">
        <v>13</v>
      </c>
      <c r="E268" s="49" t="s">
        <v>180</v>
      </c>
      <c r="F268" s="49" t="s">
        <v>15</v>
      </c>
      <c r="G268" s="49" t="s">
        <v>32</v>
      </c>
      <c r="H268" s="11">
        <v>32123</v>
      </c>
      <c r="I268" s="11" t="s">
        <v>21</v>
      </c>
      <c r="J268" s="49" t="s">
        <v>18</v>
      </c>
      <c r="K268" s="50">
        <v>9.9</v>
      </c>
      <c r="L268" s="51">
        <f ca="1">TRUNC((TODAY()-tBase[[#This Row],[Data Nascimento]])/365)</f>
        <v>38</v>
      </c>
      <c r="M268" s="49" t="str">
        <f ca="1">HLOOKUP(tBase[[#This Row],[Idade]],$P$7:$S$8,2,TRUE)</f>
        <v>35 - 44</v>
      </c>
    </row>
    <row r="269" spans="2:13">
      <c r="B269" s="48">
        <v>49307528124</v>
      </c>
      <c r="C269" s="49" t="s">
        <v>181</v>
      </c>
      <c r="D269" s="49" t="s">
        <v>13</v>
      </c>
      <c r="E269" s="49" t="s">
        <v>180</v>
      </c>
      <c r="F269" s="49" t="s">
        <v>59</v>
      </c>
      <c r="G269" s="49" t="s">
        <v>52</v>
      </c>
      <c r="H269" s="11">
        <v>31963</v>
      </c>
      <c r="I269" s="11" t="s">
        <v>17</v>
      </c>
      <c r="J269" s="49" t="s">
        <v>18</v>
      </c>
      <c r="K269" s="50">
        <v>9.9</v>
      </c>
      <c r="L269" s="51">
        <f ca="1">TRUNC((TODAY()-tBase[[#This Row],[Data Nascimento]])/365)</f>
        <v>38</v>
      </c>
      <c r="M269" s="49" t="str">
        <f ca="1">HLOOKUP(tBase[[#This Row],[Idade]],$P$7:$S$8,2,TRUE)</f>
        <v>35 - 44</v>
      </c>
    </row>
    <row r="270" spans="2:13">
      <c r="B270" s="48">
        <v>85098405832</v>
      </c>
      <c r="C270" s="49" t="s">
        <v>181</v>
      </c>
      <c r="D270" s="49" t="s">
        <v>13</v>
      </c>
      <c r="E270" s="49" t="s">
        <v>180</v>
      </c>
      <c r="F270" s="49" t="s">
        <v>59</v>
      </c>
      <c r="G270" s="49" t="s">
        <v>52</v>
      </c>
      <c r="H270" s="11">
        <v>29566</v>
      </c>
      <c r="I270" s="11" t="s">
        <v>72</v>
      </c>
      <c r="J270" s="49" t="s">
        <v>18</v>
      </c>
      <c r="K270" s="50">
        <v>9.9</v>
      </c>
      <c r="L270" s="51">
        <f ca="1">TRUNC((TODAY()-tBase[[#This Row],[Data Nascimento]])/365)</f>
        <v>45</v>
      </c>
      <c r="M270" s="49" t="str">
        <f ca="1">HLOOKUP(tBase[[#This Row],[Idade]],$P$7:$S$8,2,TRUE)</f>
        <v>44 - 54</v>
      </c>
    </row>
    <row r="271" spans="2:13">
      <c r="B271" s="48">
        <v>41472299450</v>
      </c>
      <c r="C271" s="49" t="s">
        <v>182</v>
      </c>
      <c r="D271" s="49" t="s">
        <v>13</v>
      </c>
      <c r="E271" s="49" t="s">
        <v>180</v>
      </c>
      <c r="F271" s="49" t="s">
        <v>15</v>
      </c>
      <c r="G271" s="49" t="s">
        <v>52</v>
      </c>
      <c r="H271" s="11">
        <v>32582</v>
      </c>
      <c r="I271" s="11" t="s">
        <v>17</v>
      </c>
      <c r="J271" s="49" t="s">
        <v>41</v>
      </c>
      <c r="K271" s="50">
        <v>29.9</v>
      </c>
      <c r="L271" s="51">
        <f ca="1">TRUNC((TODAY()-tBase[[#This Row],[Data Nascimento]])/365)</f>
        <v>37</v>
      </c>
      <c r="M271" s="49" t="str">
        <f ca="1">HLOOKUP(tBase[[#This Row],[Idade]],$P$7:$S$8,2,TRUE)</f>
        <v>35 - 44</v>
      </c>
    </row>
    <row r="272" spans="2:13">
      <c r="B272" s="48">
        <v>56102669696</v>
      </c>
      <c r="C272" s="49" t="s">
        <v>182</v>
      </c>
      <c r="D272" s="49" t="s">
        <v>13</v>
      </c>
      <c r="E272" s="49" t="s">
        <v>180</v>
      </c>
      <c r="F272" s="49" t="s">
        <v>15</v>
      </c>
      <c r="G272" s="49" t="s">
        <v>52</v>
      </c>
      <c r="H272" s="11">
        <v>28523</v>
      </c>
      <c r="I272" s="11" t="s">
        <v>17</v>
      </c>
      <c r="J272" s="49" t="s">
        <v>41</v>
      </c>
      <c r="K272" s="50">
        <v>29.9</v>
      </c>
      <c r="L272" s="51">
        <f ca="1">TRUNC((TODAY()-tBase[[#This Row],[Data Nascimento]])/365)</f>
        <v>48</v>
      </c>
      <c r="M272" s="49" t="str">
        <f ca="1">HLOOKUP(tBase[[#This Row],[Idade]],$P$7:$S$8,2,TRUE)</f>
        <v>44 - 54</v>
      </c>
    </row>
    <row r="273" spans="2:13">
      <c r="B273" s="48">
        <v>48432971475</v>
      </c>
      <c r="C273" s="49" t="s">
        <v>183</v>
      </c>
      <c r="D273" s="49" t="s">
        <v>13</v>
      </c>
      <c r="E273" s="49" t="s">
        <v>180</v>
      </c>
      <c r="F273" s="49" t="s">
        <v>40</v>
      </c>
      <c r="G273" s="49" t="s">
        <v>16</v>
      </c>
      <c r="H273" s="11">
        <v>22096</v>
      </c>
      <c r="I273" s="11" t="s">
        <v>17</v>
      </c>
      <c r="J273" s="49" t="s">
        <v>18</v>
      </c>
      <c r="K273" s="50">
        <v>9.9</v>
      </c>
      <c r="L273" s="51">
        <f ca="1">TRUNC((TODAY()-tBase[[#This Row],[Data Nascimento]])/365)</f>
        <v>65</v>
      </c>
      <c r="M273" s="49" t="str">
        <f ca="1">HLOOKUP(tBase[[#This Row],[Idade]],$P$7:$S$8,2,TRUE)</f>
        <v>54-70</v>
      </c>
    </row>
    <row r="274" spans="2:13">
      <c r="B274" s="48">
        <v>74716763098</v>
      </c>
      <c r="C274" s="49" t="s">
        <v>183</v>
      </c>
      <c r="D274" s="49" t="s">
        <v>13</v>
      </c>
      <c r="E274" s="49" t="s">
        <v>180</v>
      </c>
      <c r="F274" s="49" t="s">
        <v>40</v>
      </c>
      <c r="G274" s="49" t="s">
        <v>16</v>
      </c>
      <c r="H274" s="11">
        <v>28008</v>
      </c>
      <c r="I274" s="11" t="s">
        <v>72</v>
      </c>
      <c r="J274" s="49" t="s">
        <v>18</v>
      </c>
      <c r="K274" s="50">
        <v>9.9</v>
      </c>
      <c r="L274" s="51">
        <f ca="1">TRUNC((TODAY()-tBase[[#This Row],[Data Nascimento]])/365)</f>
        <v>49</v>
      </c>
      <c r="M274" s="49" t="str">
        <f ca="1">HLOOKUP(tBase[[#This Row],[Idade]],$P$7:$S$8,2,TRUE)</f>
        <v>44 - 54</v>
      </c>
    </row>
    <row r="275" spans="2:13">
      <c r="B275" s="48">
        <v>53398120004</v>
      </c>
      <c r="C275" s="49" t="s">
        <v>184</v>
      </c>
      <c r="D275" s="49" t="s">
        <v>13</v>
      </c>
      <c r="E275" s="49" t="s">
        <v>180</v>
      </c>
      <c r="F275" s="49" t="s">
        <v>15</v>
      </c>
      <c r="G275" s="49" t="s">
        <v>16</v>
      </c>
      <c r="H275" s="11">
        <v>31304</v>
      </c>
      <c r="I275" s="11" t="s">
        <v>19</v>
      </c>
      <c r="J275" s="49" t="s">
        <v>18</v>
      </c>
      <c r="K275" s="50">
        <v>9.9</v>
      </c>
      <c r="L275" s="51">
        <f ca="1">TRUNC((TODAY()-tBase[[#This Row],[Data Nascimento]])/365)</f>
        <v>40</v>
      </c>
      <c r="M275" s="49" t="str">
        <f ca="1">HLOOKUP(tBase[[#This Row],[Idade]],$P$7:$S$8,2,TRUE)</f>
        <v>35 - 44</v>
      </c>
    </row>
    <row r="276" spans="2:13">
      <c r="B276" s="48">
        <v>55400526908</v>
      </c>
      <c r="C276" s="49" t="s">
        <v>184</v>
      </c>
      <c r="D276" s="49" t="s">
        <v>13</v>
      </c>
      <c r="E276" s="49" t="s">
        <v>180</v>
      </c>
      <c r="F276" s="49" t="s">
        <v>15</v>
      </c>
      <c r="G276" s="49" t="s">
        <v>16</v>
      </c>
      <c r="H276" s="11">
        <v>31753</v>
      </c>
      <c r="I276" s="11" t="s">
        <v>19</v>
      </c>
      <c r="J276" s="49" t="s">
        <v>18</v>
      </c>
      <c r="K276" s="50">
        <v>9.9</v>
      </c>
      <c r="L276" s="51">
        <f ca="1">TRUNC((TODAY()-tBase[[#This Row],[Data Nascimento]])/365)</f>
        <v>39</v>
      </c>
      <c r="M276" s="49" t="str">
        <f ca="1">HLOOKUP(tBase[[#This Row],[Idade]],$P$7:$S$8,2,TRUE)</f>
        <v>35 - 44</v>
      </c>
    </row>
    <row r="277" spans="2:13">
      <c r="B277" s="48">
        <v>55453919588</v>
      </c>
      <c r="C277" s="49" t="s">
        <v>185</v>
      </c>
      <c r="D277" s="49" t="s">
        <v>13</v>
      </c>
      <c r="E277" s="49" t="s">
        <v>180</v>
      </c>
      <c r="F277" s="49" t="s">
        <v>40</v>
      </c>
      <c r="G277" s="49" t="s">
        <v>16</v>
      </c>
      <c r="H277" s="11">
        <v>26625</v>
      </c>
      <c r="I277" s="11" t="s">
        <v>19</v>
      </c>
      <c r="J277" s="49" t="s">
        <v>41</v>
      </c>
      <c r="K277" s="50">
        <v>29.9</v>
      </c>
      <c r="L277" s="51">
        <f ca="1">TRUNC((TODAY()-tBase[[#This Row],[Data Nascimento]])/365)</f>
        <v>53</v>
      </c>
      <c r="M277" s="49" t="str">
        <f ca="1">HLOOKUP(tBase[[#This Row],[Idade]],$P$7:$S$8,2,TRUE)</f>
        <v>44 - 54</v>
      </c>
    </row>
    <row r="278" spans="2:13">
      <c r="B278" s="48">
        <v>97913428100</v>
      </c>
      <c r="C278" s="49" t="s">
        <v>185</v>
      </c>
      <c r="D278" s="49" t="s">
        <v>13</v>
      </c>
      <c r="E278" s="49" t="s">
        <v>180</v>
      </c>
      <c r="F278" s="49" t="s">
        <v>40</v>
      </c>
      <c r="G278" s="49" t="s">
        <v>16</v>
      </c>
      <c r="H278" s="11">
        <v>36451</v>
      </c>
      <c r="I278" s="11" t="s">
        <v>24</v>
      </c>
      <c r="J278" s="49" t="s">
        <v>41</v>
      </c>
      <c r="K278" s="50">
        <v>29.9</v>
      </c>
      <c r="L278" s="51">
        <f ca="1">TRUNC((TODAY()-tBase[[#This Row],[Data Nascimento]])/365)</f>
        <v>26</v>
      </c>
      <c r="M278" s="49" t="str">
        <f ca="1">HLOOKUP(tBase[[#This Row],[Idade]],$P$7:$S$8,2,TRUE)</f>
        <v>24-34</v>
      </c>
    </row>
    <row r="279" spans="2:13">
      <c r="B279" s="48">
        <v>23076469898</v>
      </c>
      <c r="C279" s="49" t="s">
        <v>186</v>
      </c>
      <c r="D279" s="49" t="s">
        <v>13</v>
      </c>
      <c r="E279" s="49" t="s">
        <v>180</v>
      </c>
      <c r="F279" s="49" t="s">
        <v>40</v>
      </c>
      <c r="G279" s="49" t="s">
        <v>16</v>
      </c>
      <c r="H279" s="11">
        <v>26534</v>
      </c>
      <c r="I279" s="11" t="s">
        <v>17</v>
      </c>
      <c r="J279" s="49" t="s">
        <v>41</v>
      </c>
      <c r="K279" s="50">
        <v>29.9</v>
      </c>
      <c r="L279" s="51">
        <f ca="1">TRUNC((TODAY()-tBase[[#This Row],[Data Nascimento]])/365)</f>
        <v>53</v>
      </c>
      <c r="M279" s="49" t="str">
        <f ca="1">HLOOKUP(tBase[[#This Row],[Idade]],$P$7:$S$8,2,TRUE)</f>
        <v>44 - 54</v>
      </c>
    </row>
    <row r="280" spans="2:13">
      <c r="B280" s="48">
        <v>92908961862</v>
      </c>
      <c r="C280" s="49" t="s">
        <v>186</v>
      </c>
      <c r="D280" s="49" t="s">
        <v>13</v>
      </c>
      <c r="E280" s="49" t="s">
        <v>180</v>
      </c>
      <c r="F280" s="49" t="s">
        <v>40</v>
      </c>
      <c r="G280" s="49" t="s">
        <v>16</v>
      </c>
      <c r="H280" s="11">
        <v>26841</v>
      </c>
      <c r="I280" s="11" t="s">
        <v>72</v>
      </c>
      <c r="J280" s="49" t="s">
        <v>41</v>
      </c>
      <c r="K280" s="50">
        <v>29.9</v>
      </c>
      <c r="L280" s="51">
        <f ca="1">TRUNC((TODAY()-tBase[[#This Row],[Data Nascimento]])/365)</f>
        <v>52</v>
      </c>
      <c r="M280" s="49" t="str">
        <f ca="1">HLOOKUP(tBase[[#This Row],[Idade]],$P$7:$S$8,2,TRUE)</f>
        <v>44 - 54</v>
      </c>
    </row>
    <row r="281" spans="2:13">
      <c r="B281" s="48">
        <v>33875188130</v>
      </c>
      <c r="C281" s="49" t="s">
        <v>187</v>
      </c>
      <c r="D281" s="49" t="s">
        <v>13</v>
      </c>
      <c r="E281" s="49" t="s">
        <v>180</v>
      </c>
      <c r="F281" s="49" t="s">
        <v>15</v>
      </c>
      <c r="G281" s="49" t="s">
        <v>16</v>
      </c>
      <c r="H281" s="11">
        <v>27845</v>
      </c>
      <c r="I281" s="11" t="s">
        <v>19</v>
      </c>
      <c r="J281" s="49" t="s">
        <v>44</v>
      </c>
      <c r="K281" s="50">
        <v>35.9</v>
      </c>
      <c r="L281" s="51">
        <f ca="1">TRUNC((TODAY()-tBase[[#This Row],[Data Nascimento]])/365)</f>
        <v>50</v>
      </c>
      <c r="M281" s="49" t="str">
        <f ca="1">HLOOKUP(tBase[[#This Row],[Idade]],$P$7:$S$8,2,TRUE)</f>
        <v>44 - 54</v>
      </c>
    </row>
    <row r="282" spans="2:13">
      <c r="B282" s="48">
        <v>37464613995</v>
      </c>
      <c r="C282" s="49" t="s">
        <v>187</v>
      </c>
      <c r="D282" s="49" t="s">
        <v>13</v>
      </c>
      <c r="E282" s="49" t="s">
        <v>180</v>
      </c>
      <c r="F282" s="49" t="s">
        <v>15</v>
      </c>
      <c r="G282" s="49" t="s">
        <v>16</v>
      </c>
      <c r="H282" s="11">
        <v>29466</v>
      </c>
      <c r="I282" s="11" t="s">
        <v>17</v>
      </c>
      <c r="J282" s="49" t="s">
        <v>44</v>
      </c>
      <c r="K282" s="50">
        <v>35.9</v>
      </c>
      <c r="L282" s="51">
        <f ca="1">TRUNC((TODAY()-tBase[[#This Row],[Data Nascimento]])/365)</f>
        <v>45</v>
      </c>
      <c r="M282" s="49" t="str">
        <f ca="1">HLOOKUP(tBase[[#This Row],[Idade]],$P$7:$S$8,2,TRUE)</f>
        <v>44 - 54</v>
      </c>
    </row>
    <row r="283" spans="2:13">
      <c r="B283" s="48">
        <v>36548470324</v>
      </c>
      <c r="C283" s="49" t="s">
        <v>188</v>
      </c>
      <c r="D283" s="49" t="s">
        <v>13</v>
      </c>
      <c r="E283" s="49" t="s">
        <v>180</v>
      </c>
      <c r="F283" s="49" t="s">
        <v>15</v>
      </c>
      <c r="G283" s="49" t="s">
        <v>16</v>
      </c>
      <c r="H283" s="11">
        <v>27090</v>
      </c>
      <c r="I283" s="11" t="s">
        <v>21</v>
      </c>
      <c r="J283" s="49" t="s">
        <v>41</v>
      </c>
      <c r="K283" s="50">
        <v>29.9</v>
      </c>
      <c r="L283" s="51">
        <f ca="1">TRUNC((TODAY()-tBase[[#This Row],[Data Nascimento]])/365)</f>
        <v>52</v>
      </c>
      <c r="M283" s="49" t="str">
        <f ca="1">HLOOKUP(tBase[[#This Row],[Idade]],$P$7:$S$8,2,TRUE)</f>
        <v>44 - 54</v>
      </c>
    </row>
    <row r="284" spans="2:13">
      <c r="B284" s="48">
        <v>54799023278</v>
      </c>
      <c r="C284" s="49" t="s">
        <v>188</v>
      </c>
      <c r="D284" s="49" t="s">
        <v>13</v>
      </c>
      <c r="E284" s="49" t="s">
        <v>180</v>
      </c>
      <c r="F284" s="49" t="s">
        <v>15</v>
      </c>
      <c r="G284" s="49" t="s">
        <v>16</v>
      </c>
      <c r="H284" s="11">
        <v>24833</v>
      </c>
      <c r="I284" s="11" t="s">
        <v>17</v>
      </c>
      <c r="J284" s="49" t="s">
        <v>41</v>
      </c>
      <c r="K284" s="50">
        <v>29.9</v>
      </c>
      <c r="L284" s="51">
        <f ca="1">TRUNC((TODAY()-tBase[[#This Row],[Data Nascimento]])/365)</f>
        <v>58</v>
      </c>
      <c r="M284" s="49" t="str">
        <f ca="1">HLOOKUP(tBase[[#This Row],[Idade]],$P$7:$S$8,2,TRUE)</f>
        <v>54-70</v>
      </c>
    </row>
    <row r="285" spans="2:13">
      <c r="B285" s="48">
        <v>48217353343</v>
      </c>
      <c r="C285" s="49" t="s">
        <v>189</v>
      </c>
      <c r="D285" s="49" t="s">
        <v>13</v>
      </c>
      <c r="E285" s="49" t="s">
        <v>180</v>
      </c>
      <c r="F285" s="49" t="s">
        <v>15</v>
      </c>
      <c r="G285" s="49" t="s">
        <v>16</v>
      </c>
      <c r="H285" s="11">
        <v>22133</v>
      </c>
      <c r="I285" s="11" t="s">
        <v>17</v>
      </c>
      <c r="J285" s="49" t="s">
        <v>44</v>
      </c>
      <c r="K285" s="50">
        <v>35.9</v>
      </c>
      <c r="L285" s="51">
        <f ca="1">TRUNC((TODAY()-tBase[[#This Row],[Data Nascimento]])/365)</f>
        <v>65</v>
      </c>
      <c r="M285" s="49" t="str">
        <f ca="1">HLOOKUP(tBase[[#This Row],[Idade]],$P$7:$S$8,2,TRUE)</f>
        <v>54-70</v>
      </c>
    </row>
    <row r="286" spans="2:13">
      <c r="B286" s="48">
        <v>90135135538</v>
      </c>
      <c r="C286" s="49" t="s">
        <v>189</v>
      </c>
      <c r="D286" s="49" t="s">
        <v>13</v>
      </c>
      <c r="E286" s="49" t="s">
        <v>180</v>
      </c>
      <c r="F286" s="49" t="s">
        <v>15</v>
      </c>
      <c r="G286" s="49" t="s">
        <v>16</v>
      </c>
      <c r="H286" s="11">
        <v>23296</v>
      </c>
      <c r="I286" s="11" t="s">
        <v>21</v>
      </c>
      <c r="J286" s="49" t="s">
        <v>44</v>
      </c>
      <c r="K286" s="50">
        <v>35.9</v>
      </c>
      <c r="L286" s="51">
        <f ca="1">TRUNC((TODAY()-tBase[[#This Row],[Data Nascimento]])/365)</f>
        <v>62</v>
      </c>
      <c r="M286" s="49" t="str">
        <f ca="1">HLOOKUP(tBase[[#This Row],[Idade]],$P$7:$S$8,2,TRUE)</f>
        <v>54-70</v>
      </c>
    </row>
    <row r="287" spans="2:13">
      <c r="B287" s="48">
        <v>40891216129</v>
      </c>
      <c r="C287" s="49" t="s">
        <v>190</v>
      </c>
      <c r="D287" s="49" t="s">
        <v>13</v>
      </c>
      <c r="E287" s="49" t="s">
        <v>180</v>
      </c>
      <c r="F287" s="49" t="s">
        <v>15</v>
      </c>
      <c r="G287" s="49" t="s">
        <v>16</v>
      </c>
      <c r="H287" s="11">
        <v>30703</v>
      </c>
      <c r="I287" s="11" t="s">
        <v>36</v>
      </c>
      <c r="J287" s="49" t="s">
        <v>18</v>
      </c>
      <c r="K287" s="50">
        <v>9.9</v>
      </c>
      <c r="L287" s="51">
        <f ca="1">TRUNC((TODAY()-tBase[[#This Row],[Data Nascimento]])/365)</f>
        <v>42</v>
      </c>
      <c r="M287" s="49" t="str">
        <f ca="1">HLOOKUP(tBase[[#This Row],[Idade]],$P$7:$S$8,2,TRUE)</f>
        <v>35 - 44</v>
      </c>
    </row>
    <row r="288" spans="2:13">
      <c r="B288" s="48">
        <v>53842530303</v>
      </c>
      <c r="C288" s="49" t="s">
        <v>190</v>
      </c>
      <c r="D288" s="49" t="s">
        <v>13</v>
      </c>
      <c r="E288" s="49" t="s">
        <v>180</v>
      </c>
      <c r="F288" s="49" t="s">
        <v>15</v>
      </c>
      <c r="G288" s="49" t="s">
        <v>16</v>
      </c>
      <c r="H288" s="11">
        <v>34346</v>
      </c>
      <c r="I288" s="11" t="s">
        <v>21</v>
      </c>
      <c r="J288" s="49" t="s">
        <v>18</v>
      </c>
      <c r="K288" s="50">
        <v>9.9</v>
      </c>
      <c r="L288" s="51">
        <f ca="1">TRUNC((TODAY()-tBase[[#This Row],[Data Nascimento]])/365)</f>
        <v>32</v>
      </c>
      <c r="M288" s="49" t="str">
        <f ca="1">HLOOKUP(tBase[[#This Row],[Idade]],$P$7:$S$8,2,TRUE)</f>
        <v>24-34</v>
      </c>
    </row>
    <row r="289" spans="2:13">
      <c r="B289" s="48">
        <v>39660449593</v>
      </c>
      <c r="C289" s="49" t="s">
        <v>191</v>
      </c>
      <c r="D289" s="49" t="s">
        <v>13</v>
      </c>
      <c r="E289" s="49" t="s">
        <v>180</v>
      </c>
      <c r="F289" s="49" t="s">
        <v>62</v>
      </c>
      <c r="G289" s="49" t="s">
        <v>52</v>
      </c>
      <c r="H289" s="11">
        <v>33937</v>
      </c>
      <c r="I289" s="11" t="s">
        <v>19</v>
      </c>
      <c r="J289" s="49" t="s">
        <v>18</v>
      </c>
      <c r="K289" s="50">
        <v>9.9</v>
      </c>
      <c r="L289" s="51">
        <f ca="1">TRUNC((TODAY()-tBase[[#This Row],[Data Nascimento]])/365)</f>
        <v>33</v>
      </c>
      <c r="M289" s="49" t="str">
        <f ca="1">HLOOKUP(tBase[[#This Row],[Idade]],$P$7:$S$8,2,TRUE)</f>
        <v>24-34</v>
      </c>
    </row>
    <row r="290" spans="2:13">
      <c r="B290" s="48">
        <v>42955842741</v>
      </c>
      <c r="C290" s="49" t="s">
        <v>191</v>
      </c>
      <c r="D290" s="49" t="s">
        <v>13</v>
      </c>
      <c r="E290" s="49" t="s">
        <v>180</v>
      </c>
      <c r="F290" s="49" t="s">
        <v>62</v>
      </c>
      <c r="G290" s="49" t="s">
        <v>52</v>
      </c>
      <c r="H290" s="11">
        <v>26653</v>
      </c>
      <c r="I290" s="11" t="s">
        <v>19</v>
      </c>
      <c r="J290" s="49" t="s">
        <v>18</v>
      </c>
      <c r="K290" s="50">
        <v>9.9</v>
      </c>
      <c r="L290" s="51">
        <f ca="1">TRUNC((TODAY()-tBase[[#This Row],[Data Nascimento]])/365)</f>
        <v>53</v>
      </c>
      <c r="M290" s="49" t="str">
        <f ca="1">HLOOKUP(tBase[[#This Row],[Idade]],$P$7:$S$8,2,TRUE)</f>
        <v>44 - 54</v>
      </c>
    </row>
    <row r="291" spans="2:13">
      <c r="B291" s="48">
        <v>38242427646</v>
      </c>
      <c r="C291" s="49" t="s">
        <v>109</v>
      </c>
      <c r="D291" s="49" t="s">
        <v>13</v>
      </c>
      <c r="E291" s="49" t="s">
        <v>180</v>
      </c>
      <c r="F291" s="49" t="s">
        <v>59</v>
      </c>
      <c r="G291" s="49" t="s">
        <v>16</v>
      </c>
      <c r="H291" s="11">
        <v>26956</v>
      </c>
      <c r="I291" s="11" t="s">
        <v>17</v>
      </c>
      <c r="J291" s="49" t="s">
        <v>44</v>
      </c>
      <c r="K291" s="50">
        <v>35.9</v>
      </c>
      <c r="L291" s="51">
        <f ca="1">TRUNC((TODAY()-tBase[[#This Row],[Data Nascimento]])/365)</f>
        <v>52</v>
      </c>
      <c r="M291" s="49" t="str">
        <f ca="1">HLOOKUP(tBase[[#This Row],[Idade]],$P$7:$S$8,2,TRUE)</f>
        <v>44 - 54</v>
      </c>
    </row>
    <row r="292" spans="2:13">
      <c r="B292" s="48">
        <v>26713299497</v>
      </c>
      <c r="C292" s="49" t="s">
        <v>192</v>
      </c>
      <c r="D292" s="49" t="s">
        <v>43</v>
      </c>
      <c r="E292" s="49" t="s">
        <v>180</v>
      </c>
      <c r="F292" s="49" t="s">
        <v>15</v>
      </c>
      <c r="G292" s="49" t="s">
        <v>16</v>
      </c>
      <c r="H292" s="11">
        <v>23231</v>
      </c>
      <c r="I292" s="11" t="s">
        <v>72</v>
      </c>
      <c r="J292" s="49" t="s">
        <v>44</v>
      </c>
      <c r="K292" s="50">
        <v>35.9</v>
      </c>
      <c r="L292" s="51">
        <f ca="1">TRUNC((TODAY()-tBase[[#This Row],[Data Nascimento]])/365)</f>
        <v>62</v>
      </c>
      <c r="M292" s="49" t="str">
        <f ca="1">HLOOKUP(tBase[[#This Row],[Idade]],$P$7:$S$8,2,TRUE)</f>
        <v>54-70</v>
      </c>
    </row>
    <row r="293" spans="2:13">
      <c r="B293" s="48">
        <v>57875961749</v>
      </c>
      <c r="C293" s="49" t="s">
        <v>192</v>
      </c>
      <c r="D293" s="49" t="s">
        <v>43</v>
      </c>
      <c r="E293" s="49" t="s">
        <v>180</v>
      </c>
      <c r="F293" s="49" t="s">
        <v>15</v>
      </c>
      <c r="G293" s="49" t="s">
        <v>16</v>
      </c>
      <c r="H293" s="11">
        <v>27083</v>
      </c>
      <c r="I293" s="11" t="s">
        <v>17</v>
      </c>
      <c r="J293" s="49" t="s">
        <v>44</v>
      </c>
      <c r="K293" s="50">
        <v>35.9</v>
      </c>
      <c r="L293" s="51">
        <f ca="1">TRUNC((TODAY()-tBase[[#This Row],[Data Nascimento]])/365)</f>
        <v>52</v>
      </c>
      <c r="M293" s="49" t="str">
        <f ca="1">HLOOKUP(tBase[[#This Row],[Idade]],$P$7:$S$8,2,TRUE)</f>
        <v>44 - 54</v>
      </c>
    </row>
    <row r="294" spans="2:13">
      <c r="B294" s="48">
        <v>39724964915</v>
      </c>
      <c r="C294" s="49" t="s">
        <v>119</v>
      </c>
      <c r="D294" s="49" t="s">
        <v>43</v>
      </c>
      <c r="E294" s="49" t="s">
        <v>180</v>
      </c>
      <c r="F294" s="49" t="s">
        <v>31</v>
      </c>
      <c r="G294" s="49" t="s">
        <v>16</v>
      </c>
      <c r="H294" s="11">
        <v>24044</v>
      </c>
      <c r="I294" s="11" t="s">
        <v>19</v>
      </c>
      <c r="J294" s="49" t="s">
        <v>33</v>
      </c>
      <c r="K294" s="50">
        <v>79.900000000000006</v>
      </c>
      <c r="L294" s="51">
        <f ca="1">TRUNC((TODAY()-tBase[[#This Row],[Data Nascimento]])/365)</f>
        <v>60</v>
      </c>
      <c r="M294" s="49" t="str">
        <f ca="1">HLOOKUP(tBase[[#This Row],[Idade]],$P$7:$S$8,2,TRUE)</f>
        <v>54-70</v>
      </c>
    </row>
    <row r="295" spans="2:13">
      <c r="B295" s="48">
        <v>32558610072</v>
      </c>
      <c r="C295" s="49" t="s">
        <v>193</v>
      </c>
      <c r="D295" s="49" t="s">
        <v>43</v>
      </c>
      <c r="E295" s="49" t="s">
        <v>180</v>
      </c>
      <c r="F295" s="49" t="s">
        <v>40</v>
      </c>
      <c r="G295" s="49" t="s">
        <v>32</v>
      </c>
      <c r="H295" s="11">
        <v>29671</v>
      </c>
      <c r="I295" s="11" t="s">
        <v>36</v>
      </c>
      <c r="J295" s="49" t="s">
        <v>41</v>
      </c>
      <c r="K295" s="50">
        <v>29.9</v>
      </c>
      <c r="L295" s="51">
        <f ca="1">TRUNC((TODAY()-tBase[[#This Row],[Data Nascimento]])/365)</f>
        <v>45</v>
      </c>
      <c r="M295" s="49" t="str">
        <f ca="1">HLOOKUP(tBase[[#This Row],[Idade]],$P$7:$S$8,2,TRUE)</f>
        <v>44 - 54</v>
      </c>
    </row>
    <row r="296" spans="2:13">
      <c r="B296" s="48">
        <v>49948498268</v>
      </c>
      <c r="C296" s="49" t="s">
        <v>194</v>
      </c>
      <c r="D296" s="49" t="s">
        <v>43</v>
      </c>
      <c r="E296" s="49" t="s">
        <v>180</v>
      </c>
      <c r="F296" s="49" t="s">
        <v>40</v>
      </c>
      <c r="G296" s="49" t="s">
        <v>16</v>
      </c>
      <c r="H296" s="11">
        <v>23554</v>
      </c>
      <c r="I296" s="11" t="s">
        <v>17</v>
      </c>
      <c r="J296" s="49" t="s">
        <v>41</v>
      </c>
      <c r="K296" s="50">
        <v>29.9</v>
      </c>
      <c r="L296" s="51">
        <f ca="1">TRUNC((TODAY()-tBase[[#This Row],[Data Nascimento]])/365)</f>
        <v>61</v>
      </c>
      <c r="M296" s="49" t="str">
        <f ca="1">HLOOKUP(tBase[[#This Row],[Idade]],$P$7:$S$8,2,TRUE)</f>
        <v>54-70</v>
      </c>
    </row>
    <row r="297" spans="2:13">
      <c r="B297" s="48">
        <v>71277357983</v>
      </c>
      <c r="C297" s="49" t="s">
        <v>194</v>
      </c>
      <c r="D297" s="49" t="s">
        <v>43</v>
      </c>
      <c r="E297" s="49" t="s">
        <v>180</v>
      </c>
      <c r="F297" s="49" t="s">
        <v>40</v>
      </c>
      <c r="G297" s="49" t="s">
        <v>16</v>
      </c>
      <c r="H297" s="11">
        <v>24633</v>
      </c>
      <c r="I297" s="11" t="s">
        <v>17</v>
      </c>
      <c r="J297" s="49" t="s">
        <v>41</v>
      </c>
      <c r="K297" s="50">
        <v>29.9</v>
      </c>
      <c r="L297" s="51">
        <f ca="1">TRUNC((TODAY()-tBase[[#This Row],[Data Nascimento]])/365)</f>
        <v>58</v>
      </c>
      <c r="M297" s="49" t="str">
        <f ca="1">HLOOKUP(tBase[[#This Row],[Idade]],$P$7:$S$8,2,TRUE)</f>
        <v>54-70</v>
      </c>
    </row>
    <row r="298" spans="2:13">
      <c r="B298" s="48">
        <v>49477339063</v>
      </c>
      <c r="C298" s="49" t="s">
        <v>195</v>
      </c>
      <c r="D298" s="49" t="s">
        <v>43</v>
      </c>
      <c r="E298" s="49" t="s">
        <v>180</v>
      </c>
      <c r="F298" s="49" t="s">
        <v>15</v>
      </c>
      <c r="G298" s="49" t="s">
        <v>16</v>
      </c>
      <c r="H298" s="11">
        <v>24032</v>
      </c>
      <c r="I298" s="11" t="s">
        <v>19</v>
      </c>
      <c r="J298" s="49" t="s">
        <v>41</v>
      </c>
      <c r="K298" s="50">
        <v>29.9</v>
      </c>
      <c r="L298" s="51">
        <f ca="1">TRUNC((TODAY()-tBase[[#This Row],[Data Nascimento]])/365)</f>
        <v>60</v>
      </c>
      <c r="M298" s="49" t="str">
        <f ca="1">HLOOKUP(tBase[[#This Row],[Idade]],$P$7:$S$8,2,TRUE)</f>
        <v>54-70</v>
      </c>
    </row>
    <row r="299" spans="2:13">
      <c r="B299" s="48">
        <v>81477810082</v>
      </c>
      <c r="C299" s="49" t="s">
        <v>195</v>
      </c>
      <c r="D299" s="49" t="s">
        <v>43</v>
      </c>
      <c r="E299" s="49" t="s">
        <v>180</v>
      </c>
      <c r="F299" s="49" t="s">
        <v>15</v>
      </c>
      <c r="G299" s="49" t="s">
        <v>16</v>
      </c>
      <c r="H299" s="11">
        <v>34658</v>
      </c>
      <c r="I299" s="11" t="s">
        <v>17</v>
      </c>
      <c r="J299" s="49" t="s">
        <v>41</v>
      </c>
      <c r="K299" s="50">
        <v>29.9</v>
      </c>
      <c r="L299" s="51">
        <f ca="1">TRUNC((TODAY()-tBase[[#This Row],[Data Nascimento]])/365)</f>
        <v>31</v>
      </c>
      <c r="M299" s="49" t="str">
        <f ca="1">HLOOKUP(tBase[[#This Row],[Idade]],$P$7:$S$8,2,TRUE)</f>
        <v>24-34</v>
      </c>
    </row>
    <row r="300" spans="2:13">
      <c r="B300" s="48">
        <v>30383272945</v>
      </c>
      <c r="C300" s="49" t="s">
        <v>196</v>
      </c>
      <c r="D300" s="49" t="s">
        <v>43</v>
      </c>
      <c r="E300" s="49" t="s">
        <v>180</v>
      </c>
      <c r="F300" s="49" t="s">
        <v>40</v>
      </c>
      <c r="G300" s="49" t="s">
        <v>16</v>
      </c>
      <c r="H300" s="11">
        <v>34514</v>
      </c>
      <c r="I300" s="11" t="s">
        <v>21</v>
      </c>
      <c r="J300" s="49" t="s">
        <v>41</v>
      </c>
      <c r="K300" s="50">
        <v>29.9</v>
      </c>
      <c r="L300" s="51">
        <f ca="1">TRUNC((TODAY()-tBase[[#This Row],[Data Nascimento]])/365)</f>
        <v>31</v>
      </c>
      <c r="M300" s="49" t="str">
        <f ca="1">HLOOKUP(tBase[[#This Row],[Idade]],$P$7:$S$8,2,TRUE)</f>
        <v>24-34</v>
      </c>
    </row>
    <row r="301" spans="2:13">
      <c r="B301" s="48">
        <v>72900858413</v>
      </c>
      <c r="C301" s="49" t="s">
        <v>196</v>
      </c>
      <c r="D301" s="49" t="s">
        <v>43</v>
      </c>
      <c r="E301" s="49" t="s">
        <v>180</v>
      </c>
      <c r="F301" s="49" t="s">
        <v>40</v>
      </c>
      <c r="G301" s="49" t="s">
        <v>16</v>
      </c>
      <c r="H301" s="11">
        <v>29873</v>
      </c>
      <c r="I301" s="11" t="s">
        <v>17</v>
      </c>
      <c r="J301" s="49" t="s">
        <v>41</v>
      </c>
      <c r="K301" s="50">
        <v>29.9</v>
      </c>
      <c r="L301" s="51">
        <f ca="1">TRUNC((TODAY()-tBase[[#This Row],[Data Nascimento]])/365)</f>
        <v>44</v>
      </c>
      <c r="M301" s="49" t="str">
        <f ca="1">HLOOKUP(tBase[[#This Row],[Idade]],$P$7:$S$8,2,TRUE)</f>
        <v>44 - 54</v>
      </c>
    </row>
    <row r="302" spans="2:13">
      <c r="B302" s="48">
        <v>47208400662</v>
      </c>
      <c r="C302" s="49" t="s">
        <v>197</v>
      </c>
      <c r="D302" s="49" t="s">
        <v>43</v>
      </c>
      <c r="E302" s="49" t="s">
        <v>180</v>
      </c>
      <c r="F302" s="49" t="s">
        <v>62</v>
      </c>
      <c r="G302" s="49" t="s">
        <v>52</v>
      </c>
      <c r="H302" s="11">
        <v>28549</v>
      </c>
      <c r="I302" s="11" t="s">
        <v>17</v>
      </c>
      <c r="J302" s="49" t="s">
        <v>18</v>
      </c>
      <c r="K302" s="50">
        <v>9.9</v>
      </c>
      <c r="L302" s="51">
        <f ca="1">TRUNC((TODAY()-tBase[[#This Row],[Data Nascimento]])/365)</f>
        <v>48</v>
      </c>
      <c r="M302" s="49" t="str">
        <f ca="1">HLOOKUP(tBase[[#This Row],[Idade]],$P$7:$S$8,2,TRUE)</f>
        <v>44 - 54</v>
      </c>
    </row>
    <row r="303" spans="2:13">
      <c r="B303" s="48">
        <v>60235696152</v>
      </c>
      <c r="C303" s="49" t="s">
        <v>197</v>
      </c>
      <c r="D303" s="49" t="s">
        <v>43</v>
      </c>
      <c r="E303" s="49" t="s">
        <v>180</v>
      </c>
      <c r="F303" s="49" t="s">
        <v>62</v>
      </c>
      <c r="G303" s="49" t="s">
        <v>52</v>
      </c>
      <c r="H303" s="11">
        <v>24154</v>
      </c>
      <c r="I303" s="11" t="s">
        <v>24</v>
      </c>
      <c r="J303" s="49" t="s">
        <v>18</v>
      </c>
      <c r="K303" s="50">
        <v>9.9</v>
      </c>
      <c r="L303" s="51">
        <f ca="1">TRUNC((TODAY()-tBase[[#This Row],[Data Nascimento]])/365)</f>
        <v>60</v>
      </c>
      <c r="M303" s="49" t="str">
        <f ca="1">HLOOKUP(tBase[[#This Row],[Idade]],$P$7:$S$8,2,TRUE)</f>
        <v>54-70</v>
      </c>
    </row>
    <row r="304" spans="2:13">
      <c r="B304" s="48">
        <v>23901903684</v>
      </c>
      <c r="C304" s="49" t="s">
        <v>198</v>
      </c>
      <c r="D304" s="49" t="s">
        <v>43</v>
      </c>
      <c r="E304" s="49" t="s">
        <v>180</v>
      </c>
      <c r="F304" s="49" t="s">
        <v>15</v>
      </c>
      <c r="G304" s="49" t="s">
        <v>16</v>
      </c>
      <c r="H304" s="11">
        <v>31133</v>
      </c>
      <c r="I304" s="11" t="s">
        <v>17</v>
      </c>
      <c r="J304" s="49" t="s">
        <v>44</v>
      </c>
      <c r="K304" s="50">
        <v>35.9</v>
      </c>
      <c r="L304" s="51">
        <f ca="1">TRUNC((TODAY()-tBase[[#This Row],[Data Nascimento]])/365)</f>
        <v>41</v>
      </c>
      <c r="M304" s="49" t="str">
        <f ca="1">HLOOKUP(tBase[[#This Row],[Idade]],$P$7:$S$8,2,TRUE)</f>
        <v>35 - 44</v>
      </c>
    </row>
    <row r="305" spans="2:13">
      <c r="B305" s="48">
        <v>36829497298</v>
      </c>
      <c r="C305" s="49" t="s">
        <v>198</v>
      </c>
      <c r="D305" s="49" t="s">
        <v>43</v>
      </c>
      <c r="E305" s="49" t="s">
        <v>180</v>
      </c>
      <c r="F305" s="49" t="s">
        <v>15</v>
      </c>
      <c r="G305" s="49" t="s">
        <v>16</v>
      </c>
      <c r="H305" s="11">
        <v>29883</v>
      </c>
      <c r="I305" s="11" t="s">
        <v>72</v>
      </c>
      <c r="J305" s="49" t="s">
        <v>44</v>
      </c>
      <c r="K305" s="50">
        <v>35.9</v>
      </c>
      <c r="L305" s="51">
        <f ca="1">TRUNC((TODAY()-tBase[[#This Row],[Data Nascimento]])/365)</f>
        <v>44</v>
      </c>
      <c r="M305" s="49" t="str">
        <f ca="1">HLOOKUP(tBase[[#This Row],[Idade]],$P$7:$S$8,2,TRUE)</f>
        <v>44 - 54</v>
      </c>
    </row>
    <row r="306" spans="2:13">
      <c r="B306" s="48">
        <v>26133183584</v>
      </c>
      <c r="C306" s="49" t="s">
        <v>199</v>
      </c>
      <c r="D306" s="49" t="s">
        <v>43</v>
      </c>
      <c r="E306" s="49" t="s">
        <v>180</v>
      </c>
      <c r="F306" s="49" t="s">
        <v>15</v>
      </c>
      <c r="G306" s="49" t="s">
        <v>16</v>
      </c>
      <c r="H306" s="11">
        <v>32741</v>
      </c>
      <c r="I306" s="11" t="s">
        <v>17</v>
      </c>
      <c r="J306" s="49" t="s">
        <v>18</v>
      </c>
      <c r="K306" s="50">
        <v>9.9</v>
      </c>
      <c r="L306" s="51">
        <f ca="1">TRUNC((TODAY()-tBase[[#This Row],[Data Nascimento]])/365)</f>
        <v>36</v>
      </c>
      <c r="M306" s="49" t="str">
        <f ca="1">HLOOKUP(tBase[[#This Row],[Idade]],$P$7:$S$8,2,TRUE)</f>
        <v>35 - 44</v>
      </c>
    </row>
    <row r="307" spans="2:13">
      <c r="B307" s="48">
        <v>52730416333</v>
      </c>
      <c r="C307" s="49" t="s">
        <v>199</v>
      </c>
      <c r="D307" s="49" t="s">
        <v>43</v>
      </c>
      <c r="E307" s="49" t="s">
        <v>180</v>
      </c>
      <c r="F307" s="49" t="s">
        <v>15</v>
      </c>
      <c r="G307" s="49" t="s">
        <v>16</v>
      </c>
      <c r="H307" s="11">
        <v>32279</v>
      </c>
      <c r="I307" s="11" t="s">
        <v>17</v>
      </c>
      <c r="J307" s="49" t="s">
        <v>18</v>
      </c>
      <c r="K307" s="50">
        <v>9.9</v>
      </c>
      <c r="L307" s="51">
        <f ca="1">TRUNC((TODAY()-tBase[[#This Row],[Data Nascimento]])/365)</f>
        <v>37</v>
      </c>
      <c r="M307" s="49" t="str">
        <f ca="1">HLOOKUP(tBase[[#This Row],[Idade]],$P$7:$S$8,2,TRUE)</f>
        <v>35 - 44</v>
      </c>
    </row>
    <row r="308" spans="2:13">
      <c r="B308" s="48">
        <v>26748985558</v>
      </c>
      <c r="C308" s="49" t="s">
        <v>200</v>
      </c>
      <c r="D308" s="49" t="s">
        <v>43</v>
      </c>
      <c r="E308" s="49" t="s">
        <v>180</v>
      </c>
      <c r="F308" s="49" t="s">
        <v>59</v>
      </c>
      <c r="G308" s="49" t="s">
        <v>52</v>
      </c>
      <c r="H308" s="11">
        <v>22322</v>
      </c>
      <c r="I308" s="11" t="s">
        <v>19</v>
      </c>
      <c r="J308" s="49" t="s">
        <v>18</v>
      </c>
      <c r="K308" s="50">
        <v>9.9</v>
      </c>
      <c r="L308" s="51">
        <f ca="1">TRUNC((TODAY()-tBase[[#This Row],[Data Nascimento]])/365)</f>
        <v>65</v>
      </c>
      <c r="M308" s="49" t="str">
        <f ca="1">HLOOKUP(tBase[[#This Row],[Idade]],$P$7:$S$8,2,TRUE)</f>
        <v>54-70</v>
      </c>
    </row>
    <row r="309" spans="2:13">
      <c r="B309" s="48">
        <v>59825274523</v>
      </c>
      <c r="C309" s="49" t="s">
        <v>200</v>
      </c>
      <c r="D309" s="49" t="s">
        <v>43</v>
      </c>
      <c r="E309" s="49" t="s">
        <v>180</v>
      </c>
      <c r="F309" s="49" t="s">
        <v>59</v>
      </c>
      <c r="G309" s="49" t="s">
        <v>52</v>
      </c>
      <c r="H309" s="11">
        <v>29914</v>
      </c>
      <c r="I309" s="11" t="s">
        <v>46</v>
      </c>
      <c r="J309" s="49" t="s">
        <v>18</v>
      </c>
      <c r="K309" s="50">
        <v>9.9</v>
      </c>
      <c r="L309" s="51">
        <f ca="1">TRUNC((TODAY()-tBase[[#This Row],[Data Nascimento]])/365)</f>
        <v>44</v>
      </c>
      <c r="M309" s="49" t="str">
        <f ca="1">HLOOKUP(tBase[[#This Row],[Idade]],$P$7:$S$8,2,TRUE)</f>
        <v>44 - 54</v>
      </c>
    </row>
    <row r="310" spans="2:13">
      <c r="B310" s="48">
        <v>33959101715</v>
      </c>
      <c r="C310" s="49" t="s">
        <v>201</v>
      </c>
      <c r="D310" s="49" t="s">
        <v>43</v>
      </c>
      <c r="E310" s="49" t="s">
        <v>180</v>
      </c>
      <c r="F310" s="49" t="s">
        <v>62</v>
      </c>
      <c r="G310" s="49" t="s">
        <v>52</v>
      </c>
      <c r="H310" s="11">
        <v>21976</v>
      </c>
      <c r="I310" s="11" t="s">
        <v>19</v>
      </c>
      <c r="J310" s="49" t="s">
        <v>18</v>
      </c>
      <c r="K310" s="50">
        <v>9.9</v>
      </c>
      <c r="L310" s="51">
        <f ca="1">TRUNC((TODAY()-tBase[[#This Row],[Data Nascimento]])/365)</f>
        <v>66</v>
      </c>
      <c r="M310" s="49" t="str">
        <f ca="1">HLOOKUP(tBase[[#This Row],[Idade]],$P$7:$S$8,2,TRUE)</f>
        <v>54-70</v>
      </c>
    </row>
    <row r="311" spans="2:13">
      <c r="B311" s="48">
        <v>75647720892</v>
      </c>
      <c r="C311" s="49" t="s">
        <v>201</v>
      </c>
      <c r="D311" s="49" t="s">
        <v>43</v>
      </c>
      <c r="E311" s="49" t="s">
        <v>180</v>
      </c>
      <c r="F311" s="49" t="s">
        <v>62</v>
      </c>
      <c r="G311" s="49" t="s">
        <v>52</v>
      </c>
      <c r="H311" s="11">
        <v>27153</v>
      </c>
      <c r="I311" s="11" t="s">
        <v>46</v>
      </c>
      <c r="J311" s="49" t="s">
        <v>18</v>
      </c>
      <c r="K311" s="50">
        <v>9.9</v>
      </c>
      <c r="L311" s="51">
        <f ca="1">TRUNC((TODAY()-tBase[[#This Row],[Data Nascimento]])/365)</f>
        <v>51</v>
      </c>
      <c r="M311" s="49" t="str">
        <f ca="1">HLOOKUP(tBase[[#This Row],[Idade]],$P$7:$S$8,2,TRUE)</f>
        <v>44 - 54</v>
      </c>
    </row>
    <row r="312" spans="2:13">
      <c r="B312" s="48">
        <v>23347171291</v>
      </c>
      <c r="C312" s="49" t="s">
        <v>202</v>
      </c>
      <c r="D312" s="49" t="s">
        <v>43</v>
      </c>
      <c r="E312" s="49" t="s">
        <v>180</v>
      </c>
      <c r="F312" s="49" t="s">
        <v>40</v>
      </c>
      <c r="G312" s="52" t="s">
        <v>16</v>
      </c>
      <c r="H312" s="11">
        <v>28645</v>
      </c>
      <c r="I312" s="11" t="s">
        <v>19</v>
      </c>
      <c r="J312" s="49" t="s">
        <v>18</v>
      </c>
      <c r="K312" s="50">
        <v>9.9</v>
      </c>
      <c r="L312" s="51">
        <f ca="1">TRUNC((TODAY()-tBase[[#This Row],[Data Nascimento]])/365)</f>
        <v>47</v>
      </c>
      <c r="M312" s="49" t="str">
        <f ca="1">HLOOKUP(tBase[[#This Row],[Idade]],$P$7:$S$8,2,TRUE)</f>
        <v>44 - 54</v>
      </c>
    </row>
    <row r="313" spans="2:13">
      <c r="B313" s="48">
        <v>69160901332</v>
      </c>
      <c r="C313" s="49" t="s">
        <v>202</v>
      </c>
      <c r="D313" s="49" t="s">
        <v>43</v>
      </c>
      <c r="E313" s="49" t="s">
        <v>180</v>
      </c>
      <c r="F313" s="49" t="s">
        <v>40</v>
      </c>
      <c r="G313" s="49" t="s">
        <v>16</v>
      </c>
      <c r="H313" s="11">
        <v>29958</v>
      </c>
      <c r="I313" s="11" t="s">
        <v>19</v>
      </c>
      <c r="J313" s="49" t="s">
        <v>18</v>
      </c>
      <c r="K313" s="50">
        <v>9.9</v>
      </c>
      <c r="L313" s="51">
        <f ca="1">TRUNC((TODAY()-tBase[[#This Row],[Data Nascimento]])/365)</f>
        <v>44</v>
      </c>
      <c r="M313" s="49" t="str">
        <f ca="1">HLOOKUP(tBase[[#This Row],[Idade]],$P$7:$S$8,2,TRUE)</f>
        <v>44 - 54</v>
      </c>
    </row>
    <row r="314" spans="2:13">
      <c r="B314" s="48">
        <v>35417799912</v>
      </c>
      <c r="C314" s="49" t="s">
        <v>203</v>
      </c>
      <c r="D314" s="49" t="s">
        <v>43</v>
      </c>
      <c r="E314" s="49" t="s">
        <v>180</v>
      </c>
      <c r="F314" s="49" t="s">
        <v>40</v>
      </c>
      <c r="G314" s="49" t="s">
        <v>16</v>
      </c>
      <c r="H314" s="11">
        <v>23216</v>
      </c>
      <c r="I314" s="11" t="s">
        <v>17</v>
      </c>
      <c r="J314" s="49" t="s">
        <v>41</v>
      </c>
      <c r="K314" s="50">
        <v>29.9</v>
      </c>
      <c r="L314" s="51">
        <f ca="1">TRUNC((TODAY()-tBase[[#This Row],[Data Nascimento]])/365)</f>
        <v>62</v>
      </c>
      <c r="M314" s="49" t="str">
        <f ca="1">HLOOKUP(tBase[[#This Row],[Idade]],$P$7:$S$8,2,TRUE)</f>
        <v>54-70</v>
      </c>
    </row>
    <row r="315" spans="2:13">
      <c r="B315" s="48">
        <v>92967114176</v>
      </c>
      <c r="C315" s="49" t="s">
        <v>203</v>
      </c>
      <c r="D315" s="49" t="s">
        <v>43</v>
      </c>
      <c r="E315" s="49" t="s">
        <v>180</v>
      </c>
      <c r="F315" s="49" t="s">
        <v>40</v>
      </c>
      <c r="G315" s="49" t="s">
        <v>16</v>
      </c>
      <c r="H315" s="11">
        <v>34170</v>
      </c>
      <c r="I315" s="11" t="s">
        <v>19</v>
      </c>
      <c r="J315" s="49" t="s">
        <v>41</v>
      </c>
      <c r="K315" s="50">
        <v>29.9</v>
      </c>
      <c r="L315" s="51">
        <f ca="1">TRUNC((TODAY()-tBase[[#This Row],[Data Nascimento]])/365)</f>
        <v>32</v>
      </c>
      <c r="M315" s="49" t="str">
        <f ca="1">HLOOKUP(tBase[[#This Row],[Idade]],$P$7:$S$8,2,TRUE)</f>
        <v>24-34</v>
      </c>
    </row>
    <row r="316" spans="2:13">
      <c r="B316" s="48">
        <v>30493961253</v>
      </c>
      <c r="C316" s="49" t="s">
        <v>204</v>
      </c>
      <c r="D316" s="49" t="s">
        <v>43</v>
      </c>
      <c r="E316" s="49" t="s">
        <v>180</v>
      </c>
      <c r="F316" s="49" t="s">
        <v>59</v>
      </c>
      <c r="G316" s="49" t="s">
        <v>52</v>
      </c>
      <c r="H316" s="11">
        <v>27501</v>
      </c>
      <c r="I316" s="11" t="s">
        <v>21</v>
      </c>
      <c r="J316" s="49" t="s">
        <v>18</v>
      </c>
      <c r="K316" s="50">
        <v>9.9</v>
      </c>
      <c r="L316" s="51">
        <f ca="1">TRUNC((TODAY()-tBase[[#This Row],[Data Nascimento]])/365)</f>
        <v>50</v>
      </c>
      <c r="M316" s="49" t="str">
        <f ca="1">HLOOKUP(tBase[[#This Row],[Idade]],$P$7:$S$8,2,TRUE)</f>
        <v>44 - 54</v>
      </c>
    </row>
    <row r="317" spans="2:13">
      <c r="B317" s="48">
        <v>34264176742</v>
      </c>
      <c r="C317" s="49" t="s">
        <v>204</v>
      </c>
      <c r="D317" s="49" t="s">
        <v>43</v>
      </c>
      <c r="E317" s="49" t="s">
        <v>180</v>
      </c>
      <c r="F317" s="49" t="s">
        <v>59</v>
      </c>
      <c r="G317" s="49" t="s">
        <v>52</v>
      </c>
      <c r="H317" s="11">
        <v>28037</v>
      </c>
      <c r="I317" s="11" t="s">
        <v>17</v>
      </c>
      <c r="J317" s="49" t="s">
        <v>18</v>
      </c>
      <c r="K317" s="50">
        <v>9.9</v>
      </c>
      <c r="L317" s="51">
        <f ca="1">TRUNC((TODAY()-tBase[[#This Row],[Data Nascimento]])/365)</f>
        <v>49</v>
      </c>
      <c r="M317" s="49" t="str">
        <f ca="1">HLOOKUP(tBase[[#This Row],[Idade]],$P$7:$S$8,2,TRUE)</f>
        <v>44 - 54</v>
      </c>
    </row>
    <row r="318" spans="2:13">
      <c r="B318" s="48">
        <v>42434329390</v>
      </c>
      <c r="C318" s="49" t="s">
        <v>205</v>
      </c>
      <c r="D318" s="49" t="s">
        <v>43</v>
      </c>
      <c r="E318" s="49" t="s">
        <v>180</v>
      </c>
      <c r="F318" s="49" t="s">
        <v>15</v>
      </c>
      <c r="G318" s="49" t="s">
        <v>16</v>
      </c>
      <c r="H318" s="11">
        <v>24058</v>
      </c>
      <c r="I318" s="11" t="s">
        <v>24</v>
      </c>
      <c r="J318" s="49" t="s">
        <v>18</v>
      </c>
      <c r="K318" s="50">
        <v>9.9</v>
      </c>
      <c r="L318" s="51">
        <f ca="1">TRUNC((TODAY()-tBase[[#This Row],[Data Nascimento]])/365)</f>
        <v>60</v>
      </c>
      <c r="M318" s="49" t="str">
        <f ca="1">HLOOKUP(tBase[[#This Row],[Idade]],$P$7:$S$8,2,TRUE)</f>
        <v>54-70</v>
      </c>
    </row>
    <row r="319" spans="2:13">
      <c r="B319" s="48">
        <v>56991862790</v>
      </c>
      <c r="C319" s="49" t="s">
        <v>205</v>
      </c>
      <c r="D319" s="49" t="s">
        <v>43</v>
      </c>
      <c r="E319" s="49" t="s">
        <v>180</v>
      </c>
      <c r="F319" s="49" t="s">
        <v>15</v>
      </c>
      <c r="G319" s="49" t="s">
        <v>16</v>
      </c>
      <c r="H319" s="11">
        <v>32088</v>
      </c>
      <c r="I319" s="11" t="s">
        <v>24</v>
      </c>
      <c r="J319" s="49" t="s">
        <v>18</v>
      </c>
      <c r="K319" s="50">
        <v>9.9</v>
      </c>
      <c r="L319" s="51">
        <f ca="1">TRUNC((TODAY()-tBase[[#This Row],[Data Nascimento]])/365)</f>
        <v>38</v>
      </c>
      <c r="M319" s="49" t="str">
        <f ca="1">HLOOKUP(tBase[[#This Row],[Idade]],$P$7:$S$8,2,TRUE)</f>
        <v>35 - 44</v>
      </c>
    </row>
    <row r="320" spans="2:13">
      <c r="B320" s="48">
        <v>50296433971</v>
      </c>
      <c r="C320" s="49" t="s">
        <v>206</v>
      </c>
      <c r="D320" s="49" t="s">
        <v>43</v>
      </c>
      <c r="E320" s="49" t="s">
        <v>180</v>
      </c>
      <c r="F320" s="49" t="s">
        <v>40</v>
      </c>
      <c r="G320" s="49" t="s">
        <v>16</v>
      </c>
      <c r="H320" s="11">
        <v>30857</v>
      </c>
      <c r="I320" s="11" t="s">
        <v>46</v>
      </c>
      <c r="J320" s="49" t="s">
        <v>41</v>
      </c>
      <c r="K320" s="50">
        <v>29.9</v>
      </c>
      <c r="L320" s="51">
        <f ca="1">TRUNC((TODAY()-tBase[[#This Row],[Data Nascimento]])/365)</f>
        <v>41</v>
      </c>
      <c r="M320" s="49" t="str">
        <f ca="1">HLOOKUP(tBase[[#This Row],[Idade]],$P$7:$S$8,2,TRUE)</f>
        <v>35 - 44</v>
      </c>
    </row>
    <row r="321" spans="2:13">
      <c r="B321" s="48">
        <v>51537734484</v>
      </c>
      <c r="C321" s="49" t="s">
        <v>207</v>
      </c>
      <c r="D321" s="49" t="s">
        <v>43</v>
      </c>
      <c r="E321" s="49" t="s">
        <v>180</v>
      </c>
      <c r="F321" s="49" t="s">
        <v>15</v>
      </c>
      <c r="G321" s="49" t="s">
        <v>16</v>
      </c>
      <c r="H321" s="11">
        <v>22392</v>
      </c>
      <c r="I321" s="11" t="s">
        <v>72</v>
      </c>
      <c r="J321" s="49" t="s">
        <v>18</v>
      </c>
      <c r="K321" s="50">
        <v>9.9</v>
      </c>
      <c r="L321" s="51">
        <f ca="1">TRUNC((TODAY()-tBase[[#This Row],[Data Nascimento]])/365)</f>
        <v>64</v>
      </c>
      <c r="M321" s="49" t="str">
        <f ca="1">HLOOKUP(tBase[[#This Row],[Idade]],$P$7:$S$8,2,TRUE)</f>
        <v>54-70</v>
      </c>
    </row>
    <row r="322" spans="2:13">
      <c r="B322" s="48">
        <v>54506367236</v>
      </c>
      <c r="C322" s="49" t="s">
        <v>207</v>
      </c>
      <c r="D322" s="49" t="s">
        <v>43</v>
      </c>
      <c r="E322" s="49" t="s">
        <v>180</v>
      </c>
      <c r="F322" s="49" t="s">
        <v>15</v>
      </c>
      <c r="G322" s="49" t="s">
        <v>16</v>
      </c>
      <c r="H322" s="11">
        <v>23634</v>
      </c>
      <c r="I322" s="11" t="s">
        <v>19</v>
      </c>
      <c r="J322" s="49" t="s">
        <v>18</v>
      </c>
      <c r="K322" s="50">
        <v>9.9</v>
      </c>
      <c r="L322" s="51">
        <f ca="1">TRUNC((TODAY()-tBase[[#This Row],[Data Nascimento]])/365)</f>
        <v>61</v>
      </c>
      <c r="M322" s="49" t="str">
        <f ca="1">HLOOKUP(tBase[[#This Row],[Idade]],$P$7:$S$8,2,TRUE)</f>
        <v>54-70</v>
      </c>
    </row>
    <row r="323" spans="2:13">
      <c r="B323" s="48">
        <v>30735636076</v>
      </c>
      <c r="C323" s="49" t="s">
        <v>208</v>
      </c>
      <c r="D323" s="49" t="s">
        <v>43</v>
      </c>
      <c r="E323" s="49" t="s">
        <v>180</v>
      </c>
      <c r="F323" s="49" t="s">
        <v>15</v>
      </c>
      <c r="G323" s="49" t="s">
        <v>16</v>
      </c>
      <c r="H323" s="11">
        <v>31361</v>
      </c>
      <c r="I323" s="11" t="s">
        <v>17</v>
      </c>
      <c r="J323" s="49" t="s">
        <v>41</v>
      </c>
      <c r="K323" s="50">
        <v>29.9</v>
      </c>
      <c r="L323" s="51">
        <f ca="1">TRUNC((TODAY()-tBase[[#This Row],[Data Nascimento]])/365)</f>
        <v>40</v>
      </c>
      <c r="M323" s="49" t="str">
        <f ca="1">HLOOKUP(tBase[[#This Row],[Idade]],$P$7:$S$8,2,TRUE)</f>
        <v>35 - 44</v>
      </c>
    </row>
    <row r="324" spans="2:13">
      <c r="B324" s="48">
        <v>60015297037</v>
      </c>
      <c r="C324" s="49" t="s">
        <v>208</v>
      </c>
      <c r="D324" s="49" t="s">
        <v>43</v>
      </c>
      <c r="E324" s="49" t="s">
        <v>180</v>
      </c>
      <c r="F324" s="49" t="s">
        <v>15</v>
      </c>
      <c r="G324" s="49" t="s">
        <v>16</v>
      </c>
      <c r="H324" s="11">
        <v>34267</v>
      </c>
      <c r="I324" s="11" t="s">
        <v>17</v>
      </c>
      <c r="J324" s="49" t="s">
        <v>41</v>
      </c>
      <c r="K324" s="50">
        <v>29.9</v>
      </c>
      <c r="L324" s="51">
        <f ca="1">TRUNC((TODAY()-tBase[[#This Row],[Data Nascimento]])/365)</f>
        <v>32</v>
      </c>
      <c r="M324" s="49" t="str">
        <f ca="1">HLOOKUP(tBase[[#This Row],[Idade]],$P$7:$S$8,2,TRUE)</f>
        <v>24-34</v>
      </c>
    </row>
    <row r="325" spans="2:13">
      <c r="B325" s="48">
        <v>50443594586</v>
      </c>
      <c r="C325" s="49" t="s">
        <v>209</v>
      </c>
      <c r="D325" s="49" t="s">
        <v>43</v>
      </c>
      <c r="E325" s="49" t="s">
        <v>180</v>
      </c>
      <c r="F325" s="49" t="s">
        <v>62</v>
      </c>
      <c r="G325" s="49" t="s">
        <v>52</v>
      </c>
      <c r="H325" s="11">
        <v>30302</v>
      </c>
      <c r="I325" s="11" t="s">
        <v>19</v>
      </c>
      <c r="J325" s="49" t="s">
        <v>18</v>
      </c>
      <c r="K325" s="50">
        <v>9.9</v>
      </c>
      <c r="L325" s="51">
        <f ca="1">TRUNC((TODAY()-tBase[[#This Row],[Data Nascimento]])/365)</f>
        <v>43</v>
      </c>
      <c r="M325" s="49" t="str">
        <f ca="1">HLOOKUP(tBase[[#This Row],[Idade]],$P$7:$S$8,2,TRUE)</f>
        <v>35 - 44</v>
      </c>
    </row>
    <row r="326" spans="2:13">
      <c r="B326" s="48">
        <v>98697109512</v>
      </c>
      <c r="C326" s="49" t="s">
        <v>209</v>
      </c>
      <c r="D326" s="49" t="s">
        <v>43</v>
      </c>
      <c r="E326" s="49" t="s">
        <v>180</v>
      </c>
      <c r="F326" s="49" t="s">
        <v>62</v>
      </c>
      <c r="G326" s="49" t="s">
        <v>52</v>
      </c>
      <c r="H326" s="11">
        <v>32523</v>
      </c>
      <c r="I326" s="11" t="s">
        <v>19</v>
      </c>
      <c r="J326" s="49" t="s">
        <v>18</v>
      </c>
      <c r="K326" s="50">
        <v>9.9</v>
      </c>
      <c r="L326" s="51">
        <f ca="1">TRUNC((TODAY()-tBase[[#This Row],[Data Nascimento]])/365)</f>
        <v>37</v>
      </c>
      <c r="M326" s="49" t="str">
        <f ca="1">HLOOKUP(tBase[[#This Row],[Idade]],$P$7:$S$8,2,TRUE)</f>
        <v>35 - 44</v>
      </c>
    </row>
    <row r="327" spans="2:13">
      <c r="B327" s="48">
        <v>46344330480</v>
      </c>
      <c r="C327" s="49" t="s">
        <v>210</v>
      </c>
      <c r="D327" s="49" t="s">
        <v>43</v>
      </c>
      <c r="E327" s="49" t="s">
        <v>180</v>
      </c>
      <c r="F327" s="49" t="s">
        <v>15</v>
      </c>
      <c r="G327" s="49" t="s">
        <v>16</v>
      </c>
      <c r="H327" s="11">
        <v>34083</v>
      </c>
      <c r="I327" s="11" t="s">
        <v>46</v>
      </c>
      <c r="J327" s="49" t="s">
        <v>18</v>
      </c>
      <c r="K327" s="50">
        <v>9.9</v>
      </c>
      <c r="L327" s="51">
        <f ca="1">TRUNC((TODAY()-tBase[[#This Row],[Data Nascimento]])/365)</f>
        <v>32</v>
      </c>
      <c r="M327" s="49" t="str">
        <f ca="1">HLOOKUP(tBase[[#This Row],[Idade]],$P$7:$S$8,2,TRUE)</f>
        <v>24-34</v>
      </c>
    </row>
    <row r="328" spans="2:13">
      <c r="B328" s="48">
        <v>97520904627</v>
      </c>
      <c r="C328" s="49" t="s">
        <v>210</v>
      </c>
      <c r="D328" s="49" t="s">
        <v>43</v>
      </c>
      <c r="E328" s="49" t="s">
        <v>180</v>
      </c>
      <c r="F328" s="49" t="s">
        <v>15</v>
      </c>
      <c r="G328" s="49" t="s">
        <v>16</v>
      </c>
      <c r="H328" s="11">
        <v>28812</v>
      </c>
      <c r="I328" s="11" t="s">
        <v>17</v>
      </c>
      <c r="J328" s="49" t="s">
        <v>18</v>
      </c>
      <c r="K328" s="50">
        <v>9.9</v>
      </c>
      <c r="L328" s="51">
        <f ca="1">TRUNC((TODAY()-tBase[[#This Row],[Data Nascimento]])/365)</f>
        <v>47</v>
      </c>
      <c r="M328" s="49" t="str">
        <f ca="1">HLOOKUP(tBase[[#This Row],[Idade]],$P$7:$S$8,2,TRUE)</f>
        <v>44 - 54</v>
      </c>
    </row>
    <row r="329" spans="2:13">
      <c r="B329" s="48">
        <v>39613225496</v>
      </c>
      <c r="C329" s="49" t="s">
        <v>211</v>
      </c>
      <c r="D329" s="49" t="s">
        <v>43</v>
      </c>
      <c r="E329" s="49" t="s">
        <v>180</v>
      </c>
      <c r="F329" s="49" t="s">
        <v>15</v>
      </c>
      <c r="G329" s="49" t="s">
        <v>52</v>
      </c>
      <c r="H329" s="11">
        <v>26673</v>
      </c>
      <c r="I329" s="11" t="s">
        <v>72</v>
      </c>
      <c r="J329" s="49" t="s">
        <v>41</v>
      </c>
      <c r="K329" s="50">
        <v>29.9</v>
      </c>
      <c r="L329" s="51">
        <f ca="1">TRUNC((TODAY()-tBase[[#This Row],[Data Nascimento]])/365)</f>
        <v>53</v>
      </c>
      <c r="M329" s="49" t="str">
        <f ca="1">HLOOKUP(tBase[[#This Row],[Idade]],$P$7:$S$8,2,TRUE)</f>
        <v>44 - 54</v>
      </c>
    </row>
    <row r="330" spans="2:13">
      <c r="B330" s="48">
        <v>49328439074</v>
      </c>
      <c r="C330" s="49" t="s">
        <v>211</v>
      </c>
      <c r="D330" s="49" t="s">
        <v>43</v>
      </c>
      <c r="E330" s="49" t="s">
        <v>180</v>
      </c>
      <c r="F330" s="49" t="s">
        <v>15</v>
      </c>
      <c r="G330" s="49" t="s">
        <v>52</v>
      </c>
      <c r="H330" s="11">
        <v>30361</v>
      </c>
      <c r="I330" s="11" t="s">
        <v>17</v>
      </c>
      <c r="J330" s="49" t="s">
        <v>41</v>
      </c>
      <c r="K330" s="50">
        <v>29.9</v>
      </c>
      <c r="L330" s="51">
        <f ca="1">TRUNC((TODAY()-tBase[[#This Row],[Data Nascimento]])/365)</f>
        <v>43</v>
      </c>
      <c r="M330" s="49" t="str">
        <f ca="1">HLOOKUP(tBase[[#This Row],[Idade]],$P$7:$S$8,2,TRUE)</f>
        <v>35 - 44</v>
      </c>
    </row>
    <row r="331" spans="2:13">
      <c r="B331" s="48">
        <v>97043215141</v>
      </c>
      <c r="C331" s="49" t="s">
        <v>173</v>
      </c>
      <c r="D331" s="49" t="s">
        <v>43</v>
      </c>
      <c r="E331" s="49" t="s">
        <v>180</v>
      </c>
      <c r="F331" s="49" t="s">
        <v>31</v>
      </c>
      <c r="G331" s="49" t="s">
        <v>32</v>
      </c>
      <c r="H331" s="11">
        <v>29357</v>
      </c>
      <c r="I331" s="11" t="s">
        <v>17</v>
      </c>
      <c r="J331" s="49" t="s">
        <v>33</v>
      </c>
      <c r="K331" s="50">
        <v>79.900000000000006</v>
      </c>
      <c r="L331" s="51">
        <f ca="1">TRUNC((TODAY()-tBase[[#This Row],[Data Nascimento]])/365)</f>
        <v>45</v>
      </c>
      <c r="M331" s="49" t="str">
        <f ca="1">HLOOKUP(tBase[[#This Row],[Idade]],$P$7:$S$8,2,TRUE)</f>
        <v>44 - 54</v>
      </c>
    </row>
    <row r="332" spans="2:13">
      <c r="B332" s="48">
        <v>50108835505</v>
      </c>
      <c r="C332" s="49" t="s">
        <v>212</v>
      </c>
      <c r="D332" s="49" t="s">
        <v>43</v>
      </c>
      <c r="E332" s="49" t="s">
        <v>180</v>
      </c>
      <c r="F332" s="49" t="s">
        <v>15</v>
      </c>
      <c r="G332" s="49" t="s">
        <v>52</v>
      </c>
      <c r="H332" s="11">
        <v>21463</v>
      </c>
      <c r="I332" s="11" t="s">
        <v>72</v>
      </c>
      <c r="J332" s="49" t="s">
        <v>41</v>
      </c>
      <c r="K332" s="50">
        <v>29.9</v>
      </c>
      <c r="L332" s="51">
        <f ca="1">TRUNC((TODAY()-tBase[[#This Row],[Data Nascimento]])/365)</f>
        <v>67</v>
      </c>
      <c r="M332" s="49" t="str">
        <f ca="1">HLOOKUP(tBase[[#This Row],[Idade]],$P$7:$S$8,2,TRUE)</f>
        <v>54-70</v>
      </c>
    </row>
    <row r="333" spans="2:13">
      <c r="B333" s="48">
        <v>92500013367</v>
      </c>
      <c r="C333" s="49" t="s">
        <v>212</v>
      </c>
      <c r="D333" s="49" t="s">
        <v>43</v>
      </c>
      <c r="E333" s="49" t="s">
        <v>180</v>
      </c>
      <c r="F333" s="49" t="s">
        <v>15</v>
      </c>
      <c r="G333" s="49" t="s">
        <v>52</v>
      </c>
      <c r="H333" s="11">
        <v>22721</v>
      </c>
      <c r="I333" s="11" t="s">
        <v>17</v>
      </c>
      <c r="J333" s="49" t="s">
        <v>41</v>
      </c>
      <c r="K333" s="50">
        <v>29.9</v>
      </c>
      <c r="L333" s="51">
        <f ca="1">TRUNC((TODAY()-tBase[[#This Row],[Data Nascimento]])/365)</f>
        <v>64</v>
      </c>
      <c r="M333" s="49" t="str">
        <f ca="1">HLOOKUP(tBase[[#This Row],[Idade]],$P$7:$S$8,2,TRUE)</f>
        <v>54-70</v>
      </c>
    </row>
    <row r="334" spans="2:13">
      <c r="B334" s="48">
        <v>30850039240</v>
      </c>
      <c r="C334" s="49" t="s">
        <v>213</v>
      </c>
      <c r="D334" s="49" t="s">
        <v>13</v>
      </c>
      <c r="E334" s="49" t="s">
        <v>214</v>
      </c>
      <c r="F334" s="49" t="s">
        <v>15</v>
      </c>
      <c r="G334" s="49" t="s">
        <v>16</v>
      </c>
      <c r="H334" s="11">
        <v>33929</v>
      </c>
      <c r="I334" s="11" t="s">
        <v>17</v>
      </c>
      <c r="J334" s="49" t="s">
        <v>18</v>
      </c>
      <c r="K334" s="50">
        <v>9.9</v>
      </c>
      <c r="L334" s="51">
        <f ca="1">TRUNC((TODAY()-tBase[[#This Row],[Data Nascimento]])/365)</f>
        <v>33</v>
      </c>
      <c r="M334" s="49" t="str">
        <f ca="1">HLOOKUP(tBase[[#This Row],[Idade]],$P$7:$S$8,2,TRUE)</f>
        <v>24-34</v>
      </c>
    </row>
    <row r="335" spans="2:13">
      <c r="B335" s="48">
        <v>85179233460</v>
      </c>
      <c r="C335" s="49" t="s">
        <v>213</v>
      </c>
      <c r="D335" s="49" t="s">
        <v>13</v>
      </c>
      <c r="E335" s="49" t="s">
        <v>214</v>
      </c>
      <c r="F335" s="49" t="s">
        <v>15</v>
      </c>
      <c r="G335" s="49" t="s">
        <v>16</v>
      </c>
      <c r="H335" s="11">
        <v>32761</v>
      </c>
      <c r="I335" s="11" t="s">
        <v>36</v>
      </c>
      <c r="J335" s="49" t="s">
        <v>18</v>
      </c>
      <c r="K335" s="50">
        <v>9.9</v>
      </c>
      <c r="L335" s="51">
        <f ca="1">TRUNC((TODAY()-tBase[[#This Row],[Data Nascimento]])/365)</f>
        <v>36</v>
      </c>
      <c r="M335" s="49" t="str">
        <f ca="1">HLOOKUP(tBase[[#This Row],[Idade]],$P$7:$S$8,2,TRUE)</f>
        <v>35 - 44</v>
      </c>
    </row>
    <row r="336" spans="2:13">
      <c r="B336" s="48">
        <v>29665927499</v>
      </c>
      <c r="C336" s="49" t="s">
        <v>215</v>
      </c>
      <c r="D336" s="49" t="s">
        <v>13</v>
      </c>
      <c r="E336" s="49" t="s">
        <v>214</v>
      </c>
      <c r="F336" s="49" t="s">
        <v>40</v>
      </c>
      <c r="G336" s="49" t="s">
        <v>16</v>
      </c>
      <c r="H336" s="11">
        <v>25872</v>
      </c>
      <c r="I336" s="11" t="s">
        <v>46</v>
      </c>
      <c r="J336" s="49" t="s">
        <v>41</v>
      </c>
      <c r="K336" s="50">
        <v>29.9</v>
      </c>
      <c r="L336" s="51">
        <f ca="1">TRUNC((TODAY()-tBase[[#This Row],[Data Nascimento]])/365)</f>
        <v>55</v>
      </c>
      <c r="M336" s="49" t="str">
        <f ca="1">HLOOKUP(tBase[[#This Row],[Idade]],$P$7:$S$8,2,TRUE)</f>
        <v>54-70</v>
      </c>
    </row>
    <row r="337" spans="2:13">
      <c r="B337" s="48">
        <v>81957095029</v>
      </c>
      <c r="C337" s="49" t="s">
        <v>215</v>
      </c>
      <c r="D337" s="49" t="s">
        <v>13</v>
      </c>
      <c r="E337" s="49" t="s">
        <v>214</v>
      </c>
      <c r="F337" s="49" t="s">
        <v>40</v>
      </c>
      <c r="G337" s="49" t="s">
        <v>16</v>
      </c>
      <c r="H337" s="11">
        <v>35440</v>
      </c>
      <c r="I337" s="11" t="s">
        <v>17</v>
      </c>
      <c r="J337" s="49" t="s">
        <v>41</v>
      </c>
      <c r="K337" s="50">
        <v>29.9</v>
      </c>
      <c r="L337" s="51">
        <f ca="1">TRUNC((TODAY()-tBase[[#This Row],[Data Nascimento]])/365)</f>
        <v>29</v>
      </c>
      <c r="M337" s="49" t="str">
        <f ca="1">HLOOKUP(tBase[[#This Row],[Idade]],$P$7:$S$8,2,TRUE)</f>
        <v>24-34</v>
      </c>
    </row>
    <row r="338" spans="2:13">
      <c r="B338" s="48">
        <v>51993203545</v>
      </c>
      <c r="C338" s="49" t="s">
        <v>216</v>
      </c>
      <c r="D338" s="49" t="s">
        <v>13</v>
      </c>
      <c r="E338" s="49" t="s">
        <v>214</v>
      </c>
      <c r="F338" s="49" t="s">
        <v>15</v>
      </c>
      <c r="G338" s="49" t="s">
        <v>52</v>
      </c>
      <c r="H338" s="11">
        <v>25285</v>
      </c>
      <c r="I338" s="11" t="s">
        <v>17</v>
      </c>
      <c r="J338" s="49" t="s">
        <v>33</v>
      </c>
      <c r="K338" s="50">
        <v>79.900000000000006</v>
      </c>
      <c r="L338" s="51">
        <f ca="1">TRUNC((TODAY()-tBase[[#This Row],[Data Nascimento]])/365)</f>
        <v>57</v>
      </c>
      <c r="M338" s="49" t="str">
        <f ca="1">HLOOKUP(tBase[[#This Row],[Idade]],$P$7:$S$8,2,TRUE)</f>
        <v>54-70</v>
      </c>
    </row>
    <row r="339" spans="2:13">
      <c r="B339" s="48">
        <v>85835308143</v>
      </c>
      <c r="C339" s="49" t="s">
        <v>216</v>
      </c>
      <c r="D339" s="49" t="s">
        <v>13</v>
      </c>
      <c r="E339" s="49" t="s">
        <v>214</v>
      </c>
      <c r="F339" s="49" t="s">
        <v>15</v>
      </c>
      <c r="G339" s="49" t="s">
        <v>52</v>
      </c>
      <c r="H339" s="11">
        <v>34414</v>
      </c>
      <c r="I339" s="11" t="s">
        <v>17</v>
      </c>
      <c r="J339" s="49" t="s">
        <v>33</v>
      </c>
      <c r="K339" s="50">
        <v>79.900000000000006</v>
      </c>
      <c r="L339" s="51">
        <f ca="1">TRUNC((TODAY()-tBase[[#This Row],[Data Nascimento]])/365)</f>
        <v>32</v>
      </c>
      <c r="M339" s="49" t="str">
        <f ca="1">HLOOKUP(tBase[[#This Row],[Idade]],$P$7:$S$8,2,TRUE)</f>
        <v>24-34</v>
      </c>
    </row>
    <row r="340" spans="2:13">
      <c r="B340" s="48">
        <v>41027808363</v>
      </c>
      <c r="C340" s="49" t="s">
        <v>217</v>
      </c>
      <c r="D340" s="49" t="s">
        <v>13</v>
      </c>
      <c r="E340" s="49" t="s">
        <v>214</v>
      </c>
      <c r="F340" s="49" t="s">
        <v>59</v>
      </c>
      <c r="G340" s="49" t="s">
        <v>52</v>
      </c>
      <c r="H340" s="11">
        <v>31284</v>
      </c>
      <c r="I340" s="11" t="s">
        <v>19</v>
      </c>
      <c r="J340" s="49" t="s">
        <v>44</v>
      </c>
      <c r="K340" s="50">
        <v>35.9</v>
      </c>
      <c r="L340" s="51">
        <f ca="1">TRUNC((TODAY()-tBase[[#This Row],[Data Nascimento]])/365)</f>
        <v>40</v>
      </c>
      <c r="M340" s="49" t="str">
        <f ca="1">HLOOKUP(tBase[[#This Row],[Idade]],$P$7:$S$8,2,TRUE)</f>
        <v>35 - 44</v>
      </c>
    </row>
    <row r="341" spans="2:13">
      <c r="B341" s="48">
        <v>57379301258</v>
      </c>
      <c r="C341" s="49" t="s">
        <v>217</v>
      </c>
      <c r="D341" s="49" t="s">
        <v>13</v>
      </c>
      <c r="E341" s="49" t="s">
        <v>214</v>
      </c>
      <c r="F341" s="49" t="s">
        <v>59</v>
      </c>
      <c r="G341" s="49" t="s">
        <v>52</v>
      </c>
      <c r="H341" s="11">
        <v>28635</v>
      </c>
      <c r="I341" s="11" t="s">
        <v>19</v>
      </c>
      <c r="J341" s="49" t="s">
        <v>44</v>
      </c>
      <c r="K341" s="50">
        <v>35.9</v>
      </c>
      <c r="L341" s="51">
        <f ca="1">TRUNC((TODAY()-tBase[[#This Row],[Data Nascimento]])/365)</f>
        <v>47</v>
      </c>
      <c r="M341" s="49" t="str">
        <f ca="1">HLOOKUP(tBase[[#This Row],[Idade]],$P$7:$S$8,2,TRUE)</f>
        <v>44 - 54</v>
      </c>
    </row>
    <row r="342" spans="2:13">
      <c r="B342" s="48">
        <v>54411067391</v>
      </c>
      <c r="C342" s="49" t="s">
        <v>218</v>
      </c>
      <c r="D342" s="49" t="s">
        <v>13</v>
      </c>
      <c r="E342" s="49" t="s">
        <v>214</v>
      </c>
      <c r="F342" s="49" t="s">
        <v>15</v>
      </c>
      <c r="G342" s="49" t="s">
        <v>16</v>
      </c>
      <c r="H342" s="11">
        <v>31057</v>
      </c>
      <c r="I342" s="11" t="s">
        <v>21</v>
      </c>
      <c r="J342" s="49" t="s">
        <v>41</v>
      </c>
      <c r="K342" s="50">
        <v>29.9</v>
      </c>
      <c r="L342" s="51">
        <f ca="1">TRUNC((TODAY()-tBase[[#This Row],[Data Nascimento]])/365)</f>
        <v>41</v>
      </c>
      <c r="M342" s="49" t="str">
        <f ca="1">HLOOKUP(tBase[[#This Row],[Idade]],$P$7:$S$8,2,TRUE)</f>
        <v>35 - 44</v>
      </c>
    </row>
    <row r="343" spans="2:13">
      <c r="B343" s="48">
        <v>77297614799</v>
      </c>
      <c r="C343" s="49" t="s">
        <v>218</v>
      </c>
      <c r="D343" s="49" t="s">
        <v>13</v>
      </c>
      <c r="E343" s="49" t="s">
        <v>214</v>
      </c>
      <c r="F343" s="49" t="s">
        <v>15</v>
      </c>
      <c r="G343" s="49" t="s">
        <v>16</v>
      </c>
      <c r="H343" s="11">
        <v>36046</v>
      </c>
      <c r="I343" s="11" t="s">
        <v>72</v>
      </c>
      <c r="J343" s="49" t="s">
        <v>41</v>
      </c>
      <c r="K343" s="50">
        <v>29.9</v>
      </c>
      <c r="L343" s="51">
        <f ca="1">TRUNC((TODAY()-tBase[[#This Row],[Data Nascimento]])/365)</f>
        <v>27</v>
      </c>
      <c r="M343" s="49" t="str">
        <f ca="1">HLOOKUP(tBase[[#This Row],[Idade]],$P$7:$S$8,2,TRUE)</f>
        <v>24-34</v>
      </c>
    </row>
    <row r="344" spans="2:13">
      <c r="B344" s="48">
        <v>37211590394</v>
      </c>
      <c r="C344" s="49" t="s">
        <v>219</v>
      </c>
      <c r="D344" s="49" t="s">
        <v>13</v>
      </c>
      <c r="E344" s="49" t="s">
        <v>214</v>
      </c>
      <c r="F344" s="49" t="s">
        <v>38</v>
      </c>
      <c r="G344" s="49" t="s">
        <v>32</v>
      </c>
      <c r="H344" s="11">
        <v>30669</v>
      </c>
      <c r="I344" s="11" t="s">
        <v>17</v>
      </c>
      <c r="J344" s="49" t="s">
        <v>44</v>
      </c>
      <c r="K344" s="50">
        <v>35.9</v>
      </c>
      <c r="L344" s="51">
        <f ca="1">TRUNC((TODAY()-tBase[[#This Row],[Data Nascimento]])/365)</f>
        <v>42</v>
      </c>
      <c r="M344" s="49" t="str">
        <f ca="1">HLOOKUP(tBase[[#This Row],[Idade]],$P$7:$S$8,2,TRUE)</f>
        <v>35 - 44</v>
      </c>
    </row>
    <row r="345" spans="2:13">
      <c r="B345" s="48">
        <v>48007068927</v>
      </c>
      <c r="C345" s="49" t="s">
        <v>219</v>
      </c>
      <c r="D345" s="49" t="s">
        <v>13</v>
      </c>
      <c r="E345" s="49" t="s">
        <v>214</v>
      </c>
      <c r="F345" s="49" t="s">
        <v>38</v>
      </c>
      <c r="G345" s="49" t="s">
        <v>32</v>
      </c>
      <c r="H345" s="11">
        <v>30373</v>
      </c>
      <c r="I345" s="11" t="s">
        <v>17</v>
      </c>
      <c r="J345" s="49" t="s">
        <v>44</v>
      </c>
      <c r="K345" s="50">
        <v>35.9</v>
      </c>
      <c r="L345" s="51">
        <f ca="1">TRUNC((TODAY()-tBase[[#This Row],[Data Nascimento]])/365)</f>
        <v>43</v>
      </c>
      <c r="M345" s="49" t="str">
        <f ca="1">HLOOKUP(tBase[[#This Row],[Idade]],$P$7:$S$8,2,TRUE)</f>
        <v>35 - 44</v>
      </c>
    </row>
    <row r="346" spans="2:13">
      <c r="B346" s="48">
        <v>54339224143</v>
      </c>
      <c r="C346" s="49" t="s">
        <v>220</v>
      </c>
      <c r="D346" s="49" t="s">
        <v>13</v>
      </c>
      <c r="E346" s="49" t="s">
        <v>214</v>
      </c>
      <c r="F346" s="49" t="s">
        <v>38</v>
      </c>
      <c r="G346" s="49" t="s">
        <v>52</v>
      </c>
      <c r="H346" s="11">
        <v>22554</v>
      </c>
      <c r="I346" s="11" t="s">
        <v>19</v>
      </c>
      <c r="J346" s="49" t="s">
        <v>41</v>
      </c>
      <c r="K346" s="50">
        <v>29.9</v>
      </c>
      <c r="L346" s="51">
        <f ca="1">TRUNC((TODAY()-tBase[[#This Row],[Data Nascimento]])/365)</f>
        <v>64</v>
      </c>
      <c r="M346" s="49" t="str">
        <f ca="1">HLOOKUP(tBase[[#This Row],[Idade]],$P$7:$S$8,2,TRUE)</f>
        <v>54-70</v>
      </c>
    </row>
    <row r="347" spans="2:13">
      <c r="B347" s="48">
        <v>81040031571</v>
      </c>
      <c r="C347" s="49" t="s">
        <v>220</v>
      </c>
      <c r="D347" s="49" t="s">
        <v>13</v>
      </c>
      <c r="E347" s="49" t="s">
        <v>214</v>
      </c>
      <c r="F347" s="49" t="s">
        <v>38</v>
      </c>
      <c r="G347" s="49" t="s">
        <v>52</v>
      </c>
      <c r="H347" s="11">
        <v>23396</v>
      </c>
      <c r="I347" s="11" t="s">
        <v>19</v>
      </c>
      <c r="J347" s="49" t="s">
        <v>41</v>
      </c>
      <c r="K347" s="50">
        <v>29.9</v>
      </c>
      <c r="L347" s="51">
        <f ca="1">TRUNC((TODAY()-tBase[[#This Row],[Data Nascimento]])/365)</f>
        <v>62</v>
      </c>
      <c r="M347" s="49" t="str">
        <f ca="1">HLOOKUP(tBase[[#This Row],[Idade]],$P$7:$S$8,2,TRUE)</f>
        <v>54-70</v>
      </c>
    </row>
    <row r="348" spans="2:13">
      <c r="B348" s="48">
        <v>27679793781</v>
      </c>
      <c r="C348" s="49" t="s">
        <v>221</v>
      </c>
      <c r="D348" s="49" t="s">
        <v>13</v>
      </c>
      <c r="E348" s="49" t="s">
        <v>214</v>
      </c>
      <c r="F348" s="49" t="s">
        <v>40</v>
      </c>
      <c r="G348" s="49" t="s">
        <v>52</v>
      </c>
      <c r="H348" s="11">
        <v>22322</v>
      </c>
      <c r="I348" s="11" t="s">
        <v>17</v>
      </c>
      <c r="J348" s="49" t="s">
        <v>41</v>
      </c>
      <c r="K348" s="50">
        <v>29.9</v>
      </c>
      <c r="L348" s="51">
        <f ca="1">TRUNC((TODAY()-tBase[[#This Row],[Data Nascimento]])/365)</f>
        <v>65</v>
      </c>
      <c r="M348" s="49" t="str">
        <f ca="1">HLOOKUP(tBase[[#This Row],[Idade]],$P$7:$S$8,2,TRUE)</f>
        <v>54-70</v>
      </c>
    </row>
    <row r="349" spans="2:13">
      <c r="B349" s="48">
        <v>93080185386</v>
      </c>
      <c r="C349" s="49" t="s">
        <v>221</v>
      </c>
      <c r="D349" s="49" t="s">
        <v>13</v>
      </c>
      <c r="E349" s="49" t="s">
        <v>214</v>
      </c>
      <c r="F349" s="49" t="s">
        <v>40</v>
      </c>
      <c r="G349" s="49" t="s">
        <v>52</v>
      </c>
      <c r="H349" s="11">
        <v>24809</v>
      </c>
      <c r="I349" s="11" t="s">
        <v>19</v>
      </c>
      <c r="J349" s="49" t="s">
        <v>41</v>
      </c>
      <c r="K349" s="50">
        <v>29.9</v>
      </c>
      <c r="L349" s="51">
        <f ca="1">TRUNC((TODAY()-tBase[[#This Row],[Data Nascimento]])/365)</f>
        <v>58</v>
      </c>
      <c r="M349" s="49" t="str">
        <f ca="1">HLOOKUP(tBase[[#This Row],[Idade]],$P$7:$S$8,2,TRUE)</f>
        <v>54-70</v>
      </c>
    </row>
    <row r="350" spans="2:13">
      <c r="B350" s="48">
        <v>47005649054</v>
      </c>
      <c r="C350" s="49" t="s">
        <v>222</v>
      </c>
      <c r="D350" s="49" t="s">
        <v>13</v>
      </c>
      <c r="E350" s="49" t="s">
        <v>214</v>
      </c>
      <c r="F350" s="49" t="s">
        <v>38</v>
      </c>
      <c r="G350" s="49" t="s">
        <v>52</v>
      </c>
      <c r="H350" s="11">
        <v>28842</v>
      </c>
      <c r="I350" s="11" t="s">
        <v>21</v>
      </c>
      <c r="J350" s="49" t="s">
        <v>44</v>
      </c>
      <c r="K350" s="50">
        <v>35.9</v>
      </c>
      <c r="L350" s="51">
        <f ca="1">TRUNC((TODAY()-tBase[[#This Row],[Data Nascimento]])/365)</f>
        <v>47</v>
      </c>
      <c r="M350" s="49" t="str">
        <f ca="1">HLOOKUP(tBase[[#This Row],[Idade]],$P$7:$S$8,2,TRUE)</f>
        <v>44 - 54</v>
      </c>
    </row>
    <row r="351" spans="2:13">
      <c r="B351" s="48">
        <v>94583059920</v>
      </c>
      <c r="C351" s="49" t="s">
        <v>222</v>
      </c>
      <c r="D351" s="49" t="s">
        <v>13</v>
      </c>
      <c r="E351" s="49" t="s">
        <v>214</v>
      </c>
      <c r="F351" s="49" t="s">
        <v>38</v>
      </c>
      <c r="G351" s="49" t="s">
        <v>52</v>
      </c>
      <c r="H351" s="11">
        <v>28578</v>
      </c>
      <c r="I351" s="11" t="s">
        <v>17</v>
      </c>
      <c r="J351" s="49" t="s">
        <v>44</v>
      </c>
      <c r="K351" s="50">
        <v>35.9</v>
      </c>
      <c r="L351" s="51">
        <f ca="1">TRUNC((TODAY()-tBase[[#This Row],[Data Nascimento]])/365)</f>
        <v>48</v>
      </c>
      <c r="M351" s="49" t="str">
        <f ca="1">HLOOKUP(tBase[[#This Row],[Idade]],$P$7:$S$8,2,TRUE)</f>
        <v>44 - 54</v>
      </c>
    </row>
    <row r="352" spans="2:13">
      <c r="B352" s="48">
        <v>23955738155</v>
      </c>
      <c r="C352" s="49" t="s">
        <v>223</v>
      </c>
      <c r="D352" s="49" t="s">
        <v>13</v>
      </c>
      <c r="E352" s="49" t="s">
        <v>214</v>
      </c>
      <c r="F352" s="49" t="s">
        <v>15</v>
      </c>
      <c r="G352" s="49" t="s">
        <v>32</v>
      </c>
      <c r="H352" s="11">
        <v>26045</v>
      </c>
      <c r="I352" s="11" t="s">
        <v>21</v>
      </c>
      <c r="J352" s="49" t="s">
        <v>41</v>
      </c>
      <c r="K352" s="50">
        <v>29.9</v>
      </c>
      <c r="L352" s="51">
        <f ca="1">TRUNC((TODAY()-tBase[[#This Row],[Data Nascimento]])/365)</f>
        <v>54</v>
      </c>
      <c r="M352" s="49" t="str">
        <f ca="1">HLOOKUP(tBase[[#This Row],[Idade]],$P$7:$S$8,2,TRUE)</f>
        <v>54-70</v>
      </c>
    </row>
    <row r="353" spans="2:13">
      <c r="B353" s="48">
        <v>75720068227</v>
      </c>
      <c r="C353" s="49" t="s">
        <v>223</v>
      </c>
      <c r="D353" s="49" t="s">
        <v>13</v>
      </c>
      <c r="E353" s="49" t="s">
        <v>214</v>
      </c>
      <c r="F353" s="49" t="s">
        <v>15</v>
      </c>
      <c r="G353" s="49" t="s">
        <v>32</v>
      </c>
      <c r="H353" s="11">
        <v>32329</v>
      </c>
      <c r="I353" s="11" t="s">
        <v>19</v>
      </c>
      <c r="J353" s="49" t="s">
        <v>41</v>
      </c>
      <c r="K353" s="50">
        <v>29.9</v>
      </c>
      <c r="L353" s="51">
        <f ca="1">TRUNC((TODAY()-tBase[[#This Row],[Data Nascimento]])/365)</f>
        <v>37</v>
      </c>
      <c r="M353" s="49" t="str">
        <f ca="1">HLOOKUP(tBase[[#This Row],[Idade]],$P$7:$S$8,2,TRUE)</f>
        <v>35 - 44</v>
      </c>
    </row>
    <row r="354" spans="2:13">
      <c r="B354" s="48">
        <v>55201624465</v>
      </c>
      <c r="C354" s="49" t="s">
        <v>224</v>
      </c>
      <c r="D354" s="49" t="s">
        <v>13</v>
      </c>
      <c r="E354" s="49" t="s">
        <v>214</v>
      </c>
      <c r="F354" s="49" t="s">
        <v>40</v>
      </c>
      <c r="G354" s="49" t="s">
        <v>16</v>
      </c>
      <c r="H354" s="11">
        <v>26303</v>
      </c>
      <c r="I354" s="11" t="s">
        <v>17</v>
      </c>
      <c r="J354" s="49" t="s">
        <v>18</v>
      </c>
      <c r="K354" s="50">
        <v>9.9</v>
      </c>
      <c r="L354" s="51">
        <f ca="1">TRUNC((TODAY()-tBase[[#This Row],[Data Nascimento]])/365)</f>
        <v>54</v>
      </c>
      <c r="M354" s="49" t="str">
        <f ca="1">HLOOKUP(tBase[[#This Row],[Idade]],$P$7:$S$8,2,TRUE)</f>
        <v>54-70</v>
      </c>
    </row>
    <row r="355" spans="2:13">
      <c r="B355" s="48">
        <v>81957392796</v>
      </c>
      <c r="C355" s="49" t="s">
        <v>224</v>
      </c>
      <c r="D355" s="49" t="s">
        <v>13</v>
      </c>
      <c r="E355" s="49" t="s">
        <v>214</v>
      </c>
      <c r="F355" s="49" t="s">
        <v>40</v>
      </c>
      <c r="G355" s="49" t="s">
        <v>16</v>
      </c>
      <c r="H355" s="11">
        <v>33595</v>
      </c>
      <c r="I355" s="11" t="s">
        <v>17</v>
      </c>
      <c r="J355" s="49" t="s">
        <v>18</v>
      </c>
      <c r="K355" s="50">
        <v>9.9</v>
      </c>
      <c r="L355" s="51">
        <f ca="1">TRUNC((TODAY()-tBase[[#This Row],[Data Nascimento]])/365)</f>
        <v>34</v>
      </c>
      <c r="M355" s="49" t="str">
        <f ca="1">HLOOKUP(tBase[[#This Row],[Idade]],$P$7:$S$8,2,TRUE)</f>
        <v>24-34</v>
      </c>
    </row>
    <row r="356" spans="2:13">
      <c r="B356" s="48">
        <v>39721320066</v>
      </c>
      <c r="C356" s="49" t="s">
        <v>225</v>
      </c>
      <c r="D356" s="49" t="s">
        <v>13</v>
      </c>
      <c r="E356" s="49" t="s">
        <v>214</v>
      </c>
      <c r="F356" s="49" t="s">
        <v>38</v>
      </c>
      <c r="G356" s="49" t="s">
        <v>16</v>
      </c>
      <c r="H356" s="11">
        <v>25660</v>
      </c>
      <c r="I356" s="11" t="s">
        <v>19</v>
      </c>
      <c r="J356" s="49" t="s">
        <v>41</v>
      </c>
      <c r="K356" s="50">
        <v>29.9</v>
      </c>
      <c r="L356" s="51">
        <f ca="1">TRUNC((TODAY()-tBase[[#This Row],[Data Nascimento]])/365)</f>
        <v>56</v>
      </c>
      <c r="M356" s="49" t="str">
        <f ca="1">HLOOKUP(tBase[[#This Row],[Idade]],$P$7:$S$8,2,TRUE)</f>
        <v>54-70</v>
      </c>
    </row>
    <row r="357" spans="2:13">
      <c r="B357" s="48">
        <v>68722509568</v>
      </c>
      <c r="C357" s="49" t="s">
        <v>225</v>
      </c>
      <c r="D357" s="49" t="s">
        <v>13</v>
      </c>
      <c r="E357" s="49" t="s">
        <v>214</v>
      </c>
      <c r="F357" s="49" t="s">
        <v>38</v>
      </c>
      <c r="G357" s="49" t="s">
        <v>16</v>
      </c>
      <c r="H357" s="11">
        <v>25592</v>
      </c>
      <c r="I357" s="11" t="s">
        <v>21</v>
      </c>
      <c r="J357" s="49" t="s">
        <v>41</v>
      </c>
      <c r="K357" s="50">
        <v>29.9</v>
      </c>
      <c r="L357" s="51">
        <f ca="1">TRUNC((TODAY()-tBase[[#This Row],[Data Nascimento]])/365)</f>
        <v>56</v>
      </c>
      <c r="M357" s="49" t="str">
        <f ca="1">HLOOKUP(tBase[[#This Row],[Idade]],$P$7:$S$8,2,TRUE)</f>
        <v>54-70</v>
      </c>
    </row>
    <row r="358" spans="2:13">
      <c r="B358" s="48">
        <v>28722728237</v>
      </c>
      <c r="C358" s="49" t="s">
        <v>226</v>
      </c>
      <c r="D358" s="49" t="s">
        <v>13</v>
      </c>
      <c r="E358" s="49" t="s">
        <v>214</v>
      </c>
      <c r="F358" s="49" t="s">
        <v>31</v>
      </c>
      <c r="G358" s="49" t="s">
        <v>52</v>
      </c>
      <c r="H358" s="11">
        <v>32588</v>
      </c>
      <c r="I358" s="11" t="s">
        <v>17</v>
      </c>
      <c r="J358" s="49" t="s">
        <v>33</v>
      </c>
      <c r="K358" s="50">
        <v>79.900000000000006</v>
      </c>
      <c r="L358" s="51">
        <f ca="1">TRUNC((TODAY()-tBase[[#This Row],[Data Nascimento]])/365)</f>
        <v>37</v>
      </c>
      <c r="M358" s="49" t="str">
        <f ca="1">HLOOKUP(tBase[[#This Row],[Idade]],$P$7:$S$8,2,TRUE)</f>
        <v>35 - 44</v>
      </c>
    </row>
    <row r="359" spans="2:13">
      <c r="B359" s="48">
        <v>40622214948</v>
      </c>
      <c r="C359" s="49" t="s">
        <v>226</v>
      </c>
      <c r="D359" s="49" t="s">
        <v>13</v>
      </c>
      <c r="E359" s="49" t="s">
        <v>214</v>
      </c>
      <c r="F359" s="49" t="s">
        <v>31</v>
      </c>
      <c r="G359" s="49" t="s">
        <v>52</v>
      </c>
      <c r="H359" s="11">
        <v>31476</v>
      </c>
      <c r="I359" s="11" t="s">
        <v>54</v>
      </c>
      <c r="J359" s="49" t="s">
        <v>33</v>
      </c>
      <c r="K359" s="50">
        <v>79.900000000000006</v>
      </c>
      <c r="L359" s="51">
        <f ca="1">TRUNC((TODAY()-tBase[[#This Row],[Data Nascimento]])/365)</f>
        <v>40</v>
      </c>
      <c r="M359" s="49" t="str">
        <f ca="1">HLOOKUP(tBase[[#This Row],[Idade]],$P$7:$S$8,2,TRUE)</f>
        <v>35 - 44</v>
      </c>
    </row>
    <row r="360" spans="2:13">
      <c r="B360" s="48">
        <v>32056730472</v>
      </c>
      <c r="C360" s="49" t="s">
        <v>227</v>
      </c>
      <c r="D360" s="49" t="s">
        <v>13</v>
      </c>
      <c r="E360" s="49" t="s">
        <v>214</v>
      </c>
      <c r="F360" s="49" t="s">
        <v>15</v>
      </c>
      <c r="G360" s="49" t="s">
        <v>52</v>
      </c>
      <c r="H360" s="11">
        <v>24370</v>
      </c>
      <c r="I360" s="11" t="s">
        <v>17</v>
      </c>
      <c r="J360" s="49" t="s">
        <v>18</v>
      </c>
      <c r="K360" s="50">
        <v>9.9</v>
      </c>
      <c r="L360" s="51">
        <f ca="1">TRUNC((TODAY()-tBase[[#This Row],[Data Nascimento]])/365)</f>
        <v>59</v>
      </c>
      <c r="M360" s="49" t="str">
        <f ca="1">HLOOKUP(tBase[[#This Row],[Idade]],$P$7:$S$8,2,TRUE)</f>
        <v>54-70</v>
      </c>
    </row>
    <row r="361" spans="2:13">
      <c r="B361" s="48">
        <v>57638196563</v>
      </c>
      <c r="C361" s="49" t="s">
        <v>227</v>
      </c>
      <c r="D361" s="49" t="s">
        <v>13</v>
      </c>
      <c r="E361" s="49" t="s">
        <v>214</v>
      </c>
      <c r="F361" s="49" t="s">
        <v>15</v>
      </c>
      <c r="G361" s="49" t="s">
        <v>52</v>
      </c>
      <c r="H361" s="11">
        <v>28135</v>
      </c>
      <c r="I361" s="11" t="s">
        <v>19</v>
      </c>
      <c r="J361" s="49" t="s">
        <v>18</v>
      </c>
      <c r="K361" s="50">
        <v>9.9</v>
      </c>
      <c r="L361" s="51">
        <f ca="1">TRUNC((TODAY()-tBase[[#This Row],[Data Nascimento]])/365)</f>
        <v>49</v>
      </c>
      <c r="M361" s="49" t="str">
        <f ca="1">HLOOKUP(tBase[[#This Row],[Idade]],$P$7:$S$8,2,TRUE)</f>
        <v>44 - 54</v>
      </c>
    </row>
    <row r="362" spans="2:13">
      <c r="B362" s="48">
        <v>41353457861</v>
      </c>
      <c r="C362" s="49" t="s">
        <v>228</v>
      </c>
      <c r="D362" s="49" t="s">
        <v>13</v>
      </c>
      <c r="E362" s="49" t="s">
        <v>214</v>
      </c>
      <c r="F362" s="49" t="s">
        <v>15</v>
      </c>
      <c r="G362" s="49" t="s">
        <v>16</v>
      </c>
      <c r="H362" s="11">
        <v>34552</v>
      </c>
      <c r="I362" s="11" t="s">
        <v>17</v>
      </c>
      <c r="J362" s="49" t="s">
        <v>41</v>
      </c>
      <c r="K362" s="50">
        <v>29.9</v>
      </c>
      <c r="L362" s="51">
        <f ca="1">TRUNC((TODAY()-tBase[[#This Row],[Data Nascimento]])/365)</f>
        <v>31</v>
      </c>
      <c r="M362" s="49" t="str">
        <f ca="1">HLOOKUP(tBase[[#This Row],[Idade]],$P$7:$S$8,2,TRUE)</f>
        <v>24-34</v>
      </c>
    </row>
    <row r="363" spans="2:13">
      <c r="B363" s="48">
        <v>46354255833</v>
      </c>
      <c r="C363" s="49" t="s">
        <v>228</v>
      </c>
      <c r="D363" s="49" t="s">
        <v>13</v>
      </c>
      <c r="E363" s="49" t="s">
        <v>214</v>
      </c>
      <c r="F363" s="49" t="s">
        <v>15</v>
      </c>
      <c r="G363" s="49" t="s">
        <v>16</v>
      </c>
      <c r="H363" s="11">
        <v>26340</v>
      </c>
      <c r="I363" s="11" t="s">
        <v>17</v>
      </c>
      <c r="J363" s="49" t="s">
        <v>41</v>
      </c>
      <c r="K363" s="50">
        <v>29.9</v>
      </c>
      <c r="L363" s="51">
        <f ca="1">TRUNC((TODAY()-tBase[[#This Row],[Data Nascimento]])/365)</f>
        <v>54</v>
      </c>
      <c r="M363" s="49" t="str">
        <f ca="1">HLOOKUP(tBase[[#This Row],[Idade]],$P$7:$S$8,2,TRUE)</f>
        <v>54-70</v>
      </c>
    </row>
    <row r="364" spans="2:13">
      <c r="B364" s="48">
        <v>46205324892</v>
      </c>
      <c r="C364" s="49" t="s">
        <v>229</v>
      </c>
      <c r="D364" s="49" t="s">
        <v>13</v>
      </c>
      <c r="E364" s="49" t="s">
        <v>214</v>
      </c>
      <c r="F364" s="49" t="s">
        <v>38</v>
      </c>
      <c r="G364" s="49" t="s">
        <v>52</v>
      </c>
      <c r="H364" s="11">
        <v>25099</v>
      </c>
      <c r="I364" s="11" t="s">
        <v>19</v>
      </c>
      <c r="J364" s="49" t="s">
        <v>41</v>
      </c>
      <c r="K364" s="50">
        <v>29.9</v>
      </c>
      <c r="L364" s="51">
        <f ca="1">TRUNC((TODAY()-tBase[[#This Row],[Data Nascimento]])/365)</f>
        <v>57</v>
      </c>
      <c r="M364" s="49" t="str">
        <f ca="1">HLOOKUP(tBase[[#This Row],[Idade]],$P$7:$S$8,2,TRUE)</f>
        <v>54-70</v>
      </c>
    </row>
    <row r="365" spans="2:13">
      <c r="B365" s="48">
        <v>72578545172</v>
      </c>
      <c r="C365" s="49" t="s">
        <v>229</v>
      </c>
      <c r="D365" s="49" t="s">
        <v>13</v>
      </c>
      <c r="E365" s="49" t="s">
        <v>214</v>
      </c>
      <c r="F365" s="49" t="s">
        <v>38</v>
      </c>
      <c r="G365" s="49" t="s">
        <v>52</v>
      </c>
      <c r="H365" s="11">
        <v>29784</v>
      </c>
      <c r="I365" s="11" t="s">
        <v>19</v>
      </c>
      <c r="J365" s="49" t="s">
        <v>41</v>
      </c>
      <c r="K365" s="50">
        <v>29.9</v>
      </c>
      <c r="L365" s="51">
        <f ca="1">TRUNC((TODAY()-tBase[[#This Row],[Data Nascimento]])/365)</f>
        <v>44</v>
      </c>
      <c r="M365" s="49" t="str">
        <f ca="1">HLOOKUP(tBase[[#This Row],[Idade]],$P$7:$S$8,2,TRUE)</f>
        <v>44 - 54</v>
      </c>
    </row>
    <row r="366" spans="2:13">
      <c r="B366" s="48">
        <v>52074827600</v>
      </c>
      <c r="C366" s="49" t="s">
        <v>230</v>
      </c>
      <c r="D366" s="49" t="s">
        <v>13</v>
      </c>
      <c r="E366" s="49" t="s">
        <v>214</v>
      </c>
      <c r="F366" s="49" t="s">
        <v>59</v>
      </c>
      <c r="G366" s="49" t="s">
        <v>32</v>
      </c>
      <c r="H366" s="11">
        <v>21555</v>
      </c>
      <c r="I366" s="11" t="s">
        <v>21</v>
      </c>
      <c r="J366" s="49" t="s">
        <v>18</v>
      </c>
      <c r="K366" s="50">
        <v>9.9</v>
      </c>
      <c r="L366" s="51">
        <f ca="1">TRUNC((TODAY()-tBase[[#This Row],[Data Nascimento]])/365)</f>
        <v>67</v>
      </c>
      <c r="M366" s="49" t="str">
        <f ca="1">HLOOKUP(tBase[[#This Row],[Idade]],$P$7:$S$8,2,TRUE)</f>
        <v>54-70</v>
      </c>
    </row>
    <row r="367" spans="2:13">
      <c r="B367" s="48">
        <v>87414402435</v>
      </c>
      <c r="C367" s="49" t="s">
        <v>230</v>
      </c>
      <c r="D367" s="49" t="s">
        <v>13</v>
      </c>
      <c r="E367" s="49" t="s">
        <v>214</v>
      </c>
      <c r="F367" s="49" t="s">
        <v>59</v>
      </c>
      <c r="G367" s="49" t="s">
        <v>32</v>
      </c>
      <c r="H367" s="11">
        <v>28767</v>
      </c>
      <c r="I367" s="11" t="s">
        <v>19</v>
      </c>
      <c r="J367" s="49" t="s">
        <v>18</v>
      </c>
      <c r="K367" s="50">
        <v>9.9</v>
      </c>
      <c r="L367" s="51">
        <f ca="1">TRUNC((TODAY()-tBase[[#This Row],[Data Nascimento]])/365)</f>
        <v>47</v>
      </c>
      <c r="M367" s="49" t="str">
        <f ca="1">HLOOKUP(tBase[[#This Row],[Idade]],$P$7:$S$8,2,TRUE)</f>
        <v>44 - 54</v>
      </c>
    </row>
    <row r="368" spans="2:13">
      <c r="B368" s="48">
        <v>39678618932</v>
      </c>
      <c r="C368" s="49" t="s">
        <v>231</v>
      </c>
      <c r="D368" s="49" t="s">
        <v>13</v>
      </c>
      <c r="E368" s="49" t="s">
        <v>214</v>
      </c>
      <c r="F368" s="49" t="s">
        <v>15</v>
      </c>
      <c r="G368" s="49" t="s">
        <v>16</v>
      </c>
      <c r="H368" s="11">
        <v>27621</v>
      </c>
      <c r="I368" s="11" t="s">
        <v>19</v>
      </c>
      <c r="J368" s="49" t="s">
        <v>44</v>
      </c>
      <c r="K368" s="50">
        <v>35.9</v>
      </c>
      <c r="L368" s="51">
        <f ca="1">TRUNC((TODAY()-tBase[[#This Row],[Data Nascimento]])/365)</f>
        <v>50</v>
      </c>
      <c r="M368" s="49" t="str">
        <f ca="1">HLOOKUP(tBase[[#This Row],[Idade]],$P$7:$S$8,2,TRUE)</f>
        <v>44 - 54</v>
      </c>
    </row>
    <row r="369" spans="2:13">
      <c r="B369" s="48">
        <v>92851862378</v>
      </c>
      <c r="C369" s="49" t="s">
        <v>231</v>
      </c>
      <c r="D369" s="49" t="s">
        <v>13</v>
      </c>
      <c r="E369" s="49" t="s">
        <v>214</v>
      </c>
      <c r="F369" s="49" t="s">
        <v>15</v>
      </c>
      <c r="G369" s="49" t="s">
        <v>16</v>
      </c>
      <c r="H369" s="11">
        <v>30872</v>
      </c>
      <c r="I369" s="11" t="s">
        <v>24</v>
      </c>
      <c r="J369" s="49" t="s">
        <v>44</v>
      </c>
      <c r="K369" s="50">
        <v>35.9</v>
      </c>
      <c r="L369" s="51">
        <f ca="1">TRUNC((TODAY()-tBase[[#This Row],[Data Nascimento]])/365)</f>
        <v>41</v>
      </c>
      <c r="M369" s="49" t="str">
        <f ca="1">HLOOKUP(tBase[[#This Row],[Idade]],$P$7:$S$8,2,TRUE)</f>
        <v>35 - 44</v>
      </c>
    </row>
    <row r="370" spans="2:13">
      <c r="B370" s="48">
        <v>47042740325</v>
      </c>
      <c r="C370" s="49" t="s">
        <v>232</v>
      </c>
      <c r="D370" s="49" t="s">
        <v>13</v>
      </c>
      <c r="E370" s="49" t="s">
        <v>214</v>
      </c>
      <c r="F370" s="49" t="s">
        <v>40</v>
      </c>
      <c r="G370" s="49" t="s">
        <v>16</v>
      </c>
      <c r="H370" s="11">
        <v>31830</v>
      </c>
      <c r="I370" s="11" t="s">
        <v>17</v>
      </c>
      <c r="J370" s="49" t="s">
        <v>41</v>
      </c>
      <c r="K370" s="50">
        <v>29.9</v>
      </c>
      <c r="L370" s="51">
        <f ca="1">TRUNC((TODAY()-tBase[[#This Row],[Data Nascimento]])/365)</f>
        <v>39</v>
      </c>
      <c r="M370" s="49" t="str">
        <f ca="1">HLOOKUP(tBase[[#This Row],[Idade]],$P$7:$S$8,2,TRUE)</f>
        <v>35 - 44</v>
      </c>
    </row>
    <row r="371" spans="2:13">
      <c r="B371" s="48">
        <v>51629234687</v>
      </c>
      <c r="C371" s="49" t="s">
        <v>232</v>
      </c>
      <c r="D371" s="49" t="s">
        <v>13</v>
      </c>
      <c r="E371" s="49" t="s">
        <v>214</v>
      </c>
      <c r="F371" s="49" t="s">
        <v>40</v>
      </c>
      <c r="G371" s="49" t="s">
        <v>16</v>
      </c>
      <c r="H371" s="11">
        <v>25735</v>
      </c>
      <c r="I371" s="11" t="s">
        <v>19</v>
      </c>
      <c r="J371" s="49" t="s">
        <v>41</v>
      </c>
      <c r="K371" s="50">
        <v>29.9</v>
      </c>
      <c r="L371" s="51">
        <f ca="1">TRUNC((TODAY()-tBase[[#This Row],[Data Nascimento]])/365)</f>
        <v>55</v>
      </c>
      <c r="M371" s="49" t="str">
        <f ca="1">HLOOKUP(tBase[[#This Row],[Idade]],$P$7:$S$8,2,TRUE)</f>
        <v>54-70</v>
      </c>
    </row>
    <row r="372" spans="2:13">
      <c r="B372" s="48">
        <v>38563822180</v>
      </c>
      <c r="C372" s="49" t="s">
        <v>233</v>
      </c>
      <c r="D372" s="49" t="s">
        <v>13</v>
      </c>
      <c r="E372" s="49" t="s">
        <v>214</v>
      </c>
      <c r="F372" s="49" t="s">
        <v>38</v>
      </c>
      <c r="G372" s="49" t="s">
        <v>16</v>
      </c>
      <c r="H372" s="11">
        <v>28753</v>
      </c>
      <c r="I372" s="11" t="s">
        <v>21</v>
      </c>
      <c r="J372" s="49" t="s">
        <v>41</v>
      </c>
      <c r="K372" s="50">
        <v>29.9</v>
      </c>
      <c r="L372" s="51">
        <f ca="1">TRUNC((TODAY()-tBase[[#This Row],[Data Nascimento]])/365)</f>
        <v>47</v>
      </c>
      <c r="M372" s="49" t="str">
        <f ca="1">HLOOKUP(tBase[[#This Row],[Idade]],$P$7:$S$8,2,TRUE)</f>
        <v>44 - 54</v>
      </c>
    </row>
    <row r="373" spans="2:13">
      <c r="B373" s="48">
        <v>72766768810</v>
      </c>
      <c r="C373" s="49" t="s">
        <v>233</v>
      </c>
      <c r="D373" s="49" t="s">
        <v>13</v>
      </c>
      <c r="E373" s="49" t="s">
        <v>214</v>
      </c>
      <c r="F373" s="49" t="s">
        <v>38</v>
      </c>
      <c r="G373" s="49" t="s">
        <v>16</v>
      </c>
      <c r="H373" s="11">
        <v>30214</v>
      </c>
      <c r="I373" s="11" t="s">
        <v>17</v>
      </c>
      <c r="J373" s="49" t="s">
        <v>41</v>
      </c>
      <c r="K373" s="50">
        <v>29.9</v>
      </c>
      <c r="L373" s="51">
        <f ca="1">TRUNC((TODAY()-tBase[[#This Row],[Data Nascimento]])/365)</f>
        <v>43</v>
      </c>
      <c r="M373" s="49" t="str">
        <f ca="1">HLOOKUP(tBase[[#This Row],[Idade]],$P$7:$S$8,2,TRUE)</f>
        <v>35 - 44</v>
      </c>
    </row>
    <row r="374" spans="2:13">
      <c r="B374" s="48">
        <v>39011685266</v>
      </c>
      <c r="C374" s="49" t="s">
        <v>234</v>
      </c>
      <c r="D374" s="49" t="s">
        <v>13</v>
      </c>
      <c r="E374" s="49" t="s">
        <v>214</v>
      </c>
      <c r="F374" s="49" t="s">
        <v>38</v>
      </c>
      <c r="G374" s="49" t="s">
        <v>16</v>
      </c>
      <c r="H374" s="11">
        <v>25075</v>
      </c>
      <c r="I374" s="11" t="s">
        <v>17</v>
      </c>
      <c r="J374" s="49" t="s">
        <v>44</v>
      </c>
      <c r="K374" s="50">
        <v>35.9</v>
      </c>
      <c r="L374" s="51">
        <f ca="1">TRUNC((TODAY()-tBase[[#This Row],[Data Nascimento]])/365)</f>
        <v>57</v>
      </c>
      <c r="M374" s="49" t="str">
        <f ca="1">HLOOKUP(tBase[[#This Row],[Idade]],$P$7:$S$8,2,TRUE)</f>
        <v>54-70</v>
      </c>
    </row>
    <row r="375" spans="2:13">
      <c r="B375" s="48">
        <v>96469060945</v>
      </c>
      <c r="C375" s="49" t="s">
        <v>234</v>
      </c>
      <c r="D375" s="49" t="s">
        <v>13</v>
      </c>
      <c r="E375" s="49" t="s">
        <v>214</v>
      </c>
      <c r="F375" s="49" t="s">
        <v>38</v>
      </c>
      <c r="G375" s="49" t="s">
        <v>32</v>
      </c>
      <c r="H375" s="11">
        <v>25830</v>
      </c>
      <c r="I375" s="11" t="s">
        <v>46</v>
      </c>
      <c r="J375" s="49" t="s">
        <v>44</v>
      </c>
      <c r="K375" s="50">
        <v>35.9</v>
      </c>
      <c r="L375" s="51">
        <f ca="1">TRUNC((TODAY()-tBase[[#This Row],[Data Nascimento]])/365)</f>
        <v>55</v>
      </c>
      <c r="M375" s="49" t="str">
        <f ca="1">HLOOKUP(tBase[[#This Row],[Idade]],$P$7:$S$8,2,TRUE)</f>
        <v>54-70</v>
      </c>
    </row>
    <row r="376" spans="2:13">
      <c r="B376" s="48">
        <v>38193237578</v>
      </c>
      <c r="C376" s="49" t="s">
        <v>235</v>
      </c>
      <c r="D376" s="49" t="s">
        <v>13</v>
      </c>
      <c r="E376" s="49" t="s">
        <v>214</v>
      </c>
      <c r="F376" s="49" t="s">
        <v>40</v>
      </c>
      <c r="G376" s="49" t="s">
        <v>16</v>
      </c>
      <c r="H376" s="11">
        <v>32134</v>
      </c>
      <c r="I376" s="11" t="s">
        <v>17</v>
      </c>
      <c r="J376" s="49" t="s">
        <v>41</v>
      </c>
      <c r="K376" s="50">
        <v>29.9</v>
      </c>
      <c r="L376" s="51">
        <f ca="1">TRUNC((TODAY()-tBase[[#This Row],[Data Nascimento]])/365)</f>
        <v>38</v>
      </c>
      <c r="M376" s="49" t="str">
        <f ca="1">HLOOKUP(tBase[[#This Row],[Idade]],$P$7:$S$8,2,TRUE)</f>
        <v>35 - 44</v>
      </c>
    </row>
    <row r="377" spans="2:13">
      <c r="B377" s="48">
        <v>38278121652</v>
      </c>
      <c r="C377" s="49" t="s">
        <v>235</v>
      </c>
      <c r="D377" s="49" t="s">
        <v>13</v>
      </c>
      <c r="E377" s="49" t="s">
        <v>214</v>
      </c>
      <c r="F377" s="49" t="s">
        <v>40</v>
      </c>
      <c r="G377" s="49" t="s">
        <v>16</v>
      </c>
      <c r="H377" s="11">
        <v>22241</v>
      </c>
      <c r="I377" s="11" t="s">
        <v>17</v>
      </c>
      <c r="J377" s="49" t="s">
        <v>41</v>
      </c>
      <c r="K377" s="50">
        <v>29.9</v>
      </c>
      <c r="L377" s="51">
        <f ca="1">TRUNC((TODAY()-tBase[[#This Row],[Data Nascimento]])/365)</f>
        <v>65</v>
      </c>
      <c r="M377" s="49" t="str">
        <f ca="1">HLOOKUP(tBase[[#This Row],[Idade]],$P$7:$S$8,2,TRUE)</f>
        <v>54-70</v>
      </c>
    </row>
    <row r="378" spans="2:13">
      <c r="B378" s="48">
        <v>44675229890</v>
      </c>
      <c r="C378" s="49" t="s">
        <v>236</v>
      </c>
      <c r="D378" s="49" t="s">
        <v>13</v>
      </c>
      <c r="E378" s="49" t="s">
        <v>214</v>
      </c>
      <c r="F378" s="49" t="s">
        <v>31</v>
      </c>
      <c r="G378" s="49" t="s">
        <v>52</v>
      </c>
      <c r="H378" s="11">
        <v>31308</v>
      </c>
      <c r="I378" s="11" t="s">
        <v>36</v>
      </c>
      <c r="J378" s="49" t="s">
        <v>33</v>
      </c>
      <c r="K378" s="50">
        <v>79.900000000000006</v>
      </c>
      <c r="L378" s="51">
        <f ca="1">TRUNC((TODAY()-tBase[[#This Row],[Data Nascimento]])/365)</f>
        <v>40</v>
      </c>
      <c r="M378" s="49" t="str">
        <f ca="1">HLOOKUP(tBase[[#This Row],[Idade]],$P$7:$S$8,2,TRUE)</f>
        <v>35 - 44</v>
      </c>
    </row>
    <row r="379" spans="2:13">
      <c r="B379" s="48">
        <v>55064239822</v>
      </c>
      <c r="C379" s="49" t="s">
        <v>236</v>
      </c>
      <c r="D379" s="49" t="s">
        <v>13</v>
      </c>
      <c r="E379" s="49" t="s">
        <v>214</v>
      </c>
      <c r="F379" s="49" t="s">
        <v>31</v>
      </c>
      <c r="G379" s="49" t="s">
        <v>52</v>
      </c>
      <c r="H379" s="11">
        <v>20881</v>
      </c>
      <c r="I379" s="11" t="s">
        <v>17</v>
      </c>
      <c r="J379" s="49" t="s">
        <v>33</v>
      </c>
      <c r="K379" s="50">
        <v>79.900000000000006</v>
      </c>
      <c r="L379" s="51">
        <f ca="1">TRUNC((TODAY()-tBase[[#This Row],[Data Nascimento]])/365)</f>
        <v>69</v>
      </c>
      <c r="M379" s="49" t="str">
        <f ca="1">HLOOKUP(tBase[[#This Row],[Idade]],$P$7:$S$8,2,TRUE)</f>
        <v>54-70</v>
      </c>
    </row>
    <row r="380" spans="2:13">
      <c r="B380" s="48">
        <v>24399783131</v>
      </c>
      <c r="C380" s="49" t="s">
        <v>237</v>
      </c>
      <c r="D380" s="49" t="s">
        <v>13</v>
      </c>
      <c r="E380" s="49" t="s">
        <v>214</v>
      </c>
      <c r="F380" s="49" t="s">
        <v>62</v>
      </c>
      <c r="G380" s="49" t="s">
        <v>32</v>
      </c>
      <c r="H380" s="11">
        <v>21433</v>
      </c>
      <c r="I380" s="11" t="s">
        <v>21</v>
      </c>
      <c r="J380" s="49" t="s">
        <v>18</v>
      </c>
      <c r="K380" s="50">
        <v>9.9</v>
      </c>
      <c r="L380" s="51">
        <f ca="1">TRUNC((TODAY()-tBase[[#This Row],[Data Nascimento]])/365)</f>
        <v>67</v>
      </c>
      <c r="M380" s="49" t="str">
        <f ca="1">HLOOKUP(tBase[[#This Row],[Idade]],$P$7:$S$8,2,TRUE)</f>
        <v>54-70</v>
      </c>
    </row>
    <row r="381" spans="2:13">
      <c r="B381" s="48">
        <v>33482040032</v>
      </c>
      <c r="C381" s="49" t="s">
        <v>237</v>
      </c>
      <c r="D381" s="49" t="s">
        <v>13</v>
      </c>
      <c r="E381" s="49" t="s">
        <v>214</v>
      </c>
      <c r="F381" s="49" t="s">
        <v>62</v>
      </c>
      <c r="G381" s="49" t="s">
        <v>32</v>
      </c>
      <c r="H381" s="11">
        <v>32587</v>
      </c>
      <c r="I381" s="11" t="s">
        <v>17</v>
      </c>
      <c r="J381" s="49" t="s">
        <v>18</v>
      </c>
      <c r="K381" s="50">
        <v>9.9</v>
      </c>
      <c r="L381" s="51">
        <f ca="1">TRUNC((TODAY()-tBase[[#This Row],[Data Nascimento]])/365)</f>
        <v>37</v>
      </c>
      <c r="M381" s="49" t="str">
        <f ca="1">HLOOKUP(tBase[[#This Row],[Idade]],$P$7:$S$8,2,TRUE)</f>
        <v>35 - 44</v>
      </c>
    </row>
    <row r="382" spans="2:13">
      <c r="B382" s="48">
        <v>28166551614</v>
      </c>
      <c r="C382" s="49" t="s">
        <v>238</v>
      </c>
      <c r="D382" s="49" t="s">
        <v>13</v>
      </c>
      <c r="E382" s="49" t="s">
        <v>214</v>
      </c>
      <c r="F382" s="49" t="s">
        <v>31</v>
      </c>
      <c r="G382" s="49" t="s">
        <v>52</v>
      </c>
      <c r="H382" s="11">
        <v>30656</v>
      </c>
      <c r="I382" s="11" t="s">
        <v>46</v>
      </c>
      <c r="J382" s="49" t="s">
        <v>33</v>
      </c>
      <c r="K382" s="50">
        <v>79.900000000000006</v>
      </c>
      <c r="L382" s="51">
        <f ca="1">TRUNC((TODAY()-tBase[[#This Row],[Data Nascimento]])/365)</f>
        <v>42</v>
      </c>
      <c r="M382" s="49" t="str">
        <f ca="1">HLOOKUP(tBase[[#This Row],[Idade]],$P$7:$S$8,2,TRUE)</f>
        <v>35 - 44</v>
      </c>
    </row>
    <row r="383" spans="2:13">
      <c r="B383" s="48">
        <v>71408591056</v>
      </c>
      <c r="C383" s="49" t="s">
        <v>238</v>
      </c>
      <c r="D383" s="49" t="s">
        <v>13</v>
      </c>
      <c r="E383" s="49" t="s">
        <v>214</v>
      </c>
      <c r="F383" s="49" t="s">
        <v>31</v>
      </c>
      <c r="G383" s="49" t="s">
        <v>52</v>
      </c>
      <c r="H383" s="11">
        <v>29646</v>
      </c>
      <c r="I383" s="11" t="s">
        <v>24</v>
      </c>
      <c r="J383" s="49" t="s">
        <v>33</v>
      </c>
      <c r="K383" s="50">
        <v>79.900000000000006</v>
      </c>
      <c r="L383" s="51">
        <f ca="1">TRUNC((TODAY()-tBase[[#This Row],[Data Nascimento]])/365)</f>
        <v>45</v>
      </c>
      <c r="M383" s="49" t="str">
        <f ca="1">HLOOKUP(tBase[[#This Row],[Idade]],$P$7:$S$8,2,TRUE)</f>
        <v>44 - 54</v>
      </c>
    </row>
    <row r="384" spans="2:13">
      <c r="B384" s="48">
        <v>46126747412</v>
      </c>
      <c r="C384" s="49" t="s">
        <v>239</v>
      </c>
      <c r="D384" s="49" t="s">
        <v>13</v>
      </c>
      <c r="E384" s="49" t="s">
        <v>214</v>
      </c>
      <c r="F384" s="49" t="s">
        <v>62</v>
      </c>
      <c r="G384" s="49" t="s">
        <v>16</v>
      </c>
      <c r="H384" s="11">
        <v>22827</v>
      </c>
      <c r="I384" s="11" t="s">
        <v>19</v>
      </c>
      <c r="J384" s="49" t="s">
        <v>18</v>
      </c>
      <c r="K384" s="50">
        <v>9.9</v>
      </c>
      <c r="L384" s="51">
        <f ca="1">TRUNC((TODAY()-tBase[[#This Row],[Data Nascimento]])/365)</f>
        <v>63</v>
      </c>
      <c r="M384" s="49" t="str">
        <f ca="1">HLOOKUP(tBase[[#This Row],[Idade]],$P$7:$S$8,2,TRUE)</f>
        <v>54-70</v>
      </c>
    </row>
    <row r="385" spans="2:13">
      <c r="B385" s="48">
        <v>52741320194</v>
      </c>
      <c r="C385" s="49" t="s">
        <v>239</v>
      </c>
      <c r="D385" s="49" t="s">
        <v>13</v>
      </c>
      <c r="E385" s="49" t="s">
        <v>214</v>
      </c>
      <c r="F385" s="49" t="s">
        <v>62</v>
      </c>
      <c r="G385" s="49" t="s">
        <v>16</v>
      </c>
      <c r="H385" s="11">
        <v>26823</v>
      </c>
      <c r="I385" s="11" t="s">
        <v>17</v>
      </c>
      <c r="J385" s="49" t="s">
        <v>18</v>
      </c>
      <c r="K385" s="50">
        <v>9.9</v>
      </c>
      <c r="L385" s="51">
        <f ca="1">TRUNC((TODAY()-tBase[[#This Row],[Data Nascimento]])/365)</f>
        <v>52</v>
      </c>
      <c r="M385" s="49" t="str">
        <f ca="1">HLOOKUP(tBase[[#This Row],[Idade]],$P$7:$S$8,2,TRUE)</f>
        <v>44 - 54</v>
      </c>
    </row>
    <row r="386" spans="2:13">
      <c r="B386" s="48">
        <v>35176580107</v>
      </c>
      <c r="C386" s="49" t="s">
        <v>240</v>
      </c>
      <c r="D386" s="49" t="s">
        <v>13</v>
      </c>
      <c r="E386" s="49" t="s">
        <v>214</v>
      </c>
      <c r="F386" s="49" t="s">
        <v>40</v>
      </c>
      <c r="G386" s="49" t="s">
        <v>52</v>
      </c>
      <c r="H386" s="11">
        <v>24724</v>
      </c>
      <c r="I386" s="11" t="s">
        <v>17</v>
      </c>
      <c r="J386" s="49" t="s">
        <v>41</v>
      </c>
      <c r="K386" s="50">
        <v>29.9</v>
      </c>
      <c r="L386" s="51">
        <f ca="1">TRUNC((TODAY()-tBase[[#This Row],[Data Nascimento]])/365)</f>
        <v>58</v>
      </c>
      <c r="M386" s="49" t="str">
        <f ca="1">HLOOKUP(tBase[[#This Row],[Idade]],$P$7:$S$8,2,TRUE)</f>
        <v>54-70</v>
      </c>
    </row>
    <row r="387" spans="2:13">
      <c r="B387" s="48">
        <v>85294985317</v>
      </c>
      <c r="C387" s="49" t="s">
        <v>240</v>
      </c>
      <c r="D387" s="49" t="s">
        <v>13</v>
      </c>
      <c r="E387" s="49" t="s">
        <v>214</v>
      </c>
      <c r="F387" s="49" t="s">
        <v>40</v>
      </c>
      <c r="G387" s="49" t="s">
        <v>52</v>
      </c>
      <c r="H387" s="11">
        <v>30014</v>
      </c>
      <c r="I387" s="11" t="s">
        <v>46</v>
      </c>
      <c r="J387" s="49" t="s">
        <v>41</v>
      </c>
      <c r="K387" s="50">
        <v>29.9</v>
      </c>
      <c r="L387" s="51">
        <f ca="1">TRUNC((TODAY()-tBase[[#This Row],[Data Nascimento]])/365)</f>
        <v>44</v>
      </c>
      <c r="M387" s="49" t="str">
        <f ca="1">HLOOKUP(tBase[[#This Row],[Idade]],$P$7:$S$8,2,TRUE)</f>
        <v>44 - 54</v>
      </c>
    </row>
    <row r="388" spans="2:13">
      <c r="B388" s="48">
        <v>24132591017</v>
      </c>
      <c r="C388" s="49" t="s">
        <v>241</v>
      </c>
      <c r="D388" s="49" t="s">
        <v>13</v>
      </c>
      <c r="E388" s="49" t="s">
        <v>214</v>
      </c>
      <c r="F388" s="49" t="s">
        <v>59</v>
      </c>
      <c r="G388" s="49" t="s">
        <v>16</v>
      </c>
      <c r="H388" s="11">
        <v>28504</v>
      </c>
      <c r="I388" s="11" t="s">
        <v>54</v>
      </c>
      <c r="J388" s="49" t="s">
        <v>33</v>
      </c>
      <c r="K388" s="50">
        <v>79.900000000000006</v>
      </c>
      <c r="L388" s="51">
        <f ca="1">TRUNC((TODAY()-tBase[[#This Row],[Data Nascimento]])/365)</f>
        <v>48</v>
      </c>
      <c r="M388" s="49" t="str">
        <f ca="1">HLOOKUP(tBase[[#This Row],[Idade]],$P$7:$S$8,2,TRUE)</f>
        <v>44 - 54</v>
      </c>
    </row>
    <row r="389" spans="2:13">
      <c r="B389" s="48">
        <v>51204535285</v>
      </c>
      <c r="C389" s="49" t="s">
        <v>241</v>
      </c>
      <c r="D389" s="49" t="s">
        <v>13</v>
      </c>
      <c r="E389" s="49" t="s">
        <v>214</v>
      </c>
      <c r="F389" s="49" t="s">
        <v>59</v>
      </c>
      <c r="G389" s="49" t="s">
        <v>16</v>
      </c>
      <c r="H389" s="11">
        <v>27477</v>
      </c>
      <c r="I389" s="11" t="s">
        <v>17</v>
      </c>
      <c r="J389" s="49" t="s">
        <v>33</v>
      </c>
      <c r="K389" s="50">
        <v>79.900000000000006</v>
      </c>
      <c r="L389" s="51">
        <f ca="1">TRUNC((TODAY()-tBase[[#This Row],[Data Nascimento]])/365)</f>
        <v>51</v>
      </c>
      <c r="M389" s="49" t="str">
        <f ca="1">HLOOKUP(tBase[[#This Row],[Idade]],$P$7:$S$8,2,TRUE)</f>
        <v>44 - 54</v>
      </c>
    </row>
    <row r="390" spans="2:13">
      <c r="B390" s="48">
        <v>30221046505</v>
      </c>
      <c r="C390" s="49" t="s">
        <v>242</v>
      </c>
      <c r="D390" s="49" t="s">
        <v>13</v>
      </c>
      <c r="E390" s="49" t="s">
        <v>214</v>
      </c>
      <c r="F390" s="49" t="s">
        <v>15</v>
      </c>
      <c r="G390" s="49" t="s">
        <v>16</v>
      </c>
      <c r="H390" s="11">
        <v>30864</v>
      </c>
      <c r="I390" s="11" t="s">
        <v>24</v>
      </c>
      <c r="J390" s="49" t="s">
        <v>44</v>
      </c>
      <c r="K390" s="50">
        <v>35.9</v>
      </c>
      <c r="L390" s="51">
        <f ca="1">TRUNC((TODAY()-tBase[[#This Row],[Data Nascimento]])/365)</f>
        <v>41</v>
      </c>
      <c r="M390" s="49" t="str">
        <f ca="1">HLOOKUP(tBase[[#This Row],[Idade]],$P$7:$S$8,2,TRUE)</f>
        <v>35 - 44</v>
      </c>
    </row>
    <row r="391" spans="2:13">
      <c r="B391" s="48">
        <v>49266952999</v>
      </c>
      <c r="C391" s="49" t="s">
        <v>242</v>
      </c>
      <c r="D391" s="49" t="s">
        <v>13</v>
      </c>
      <c r="E391" s="49" t="s">
        <v>214</v>
      </c>
      <c r="F391" s="49" t="s">
        <v>15</v>
      </c>
      <c r="G391" s="49" t="s">
        <v>16</v>
      </c>
      <c r="H391" s="11">
        <v>28665</v>
      </c>
      <c r="I391" s="11" t="s">
        <v>17</v>
      </c>
      <c r="J391" s="49" t="s">
        <v>44</v>
      </c>
      <c r="K391" s="50">
        <v>35.9</v>
      </c>
      <c r="L391" s="51">
        <f ca="1">TRUNC((TODAY()-tBase[[#This Row],[Data Nascimento]])/365)</f>
        <v>47</v>
      </c>
      <c r="M391" s="49" t="str">
        <f ca="1">HLOOKUP(tBase[[#This Row],[Idade]],$P$7:$S$8,2,TRUE)</f>
        <v>44 - 54</v>
      </c>
    </row>
    <row r="392" spans="2:13">
      <c r="B392" s="48">
        <v>45709208362</v>
      </c>
      <c r="C392" s="49" t="s">
        <v>37</v>
      </c>
      <c r="D392" s="49" t="s">
        <v>13</v>
      </c>
      <c r="E392" s="49" t="s">
        <v>214</v>
      </c>
      <c r="F392" s="49" t="s">
        <v>38</v>
      </c>
      <c r="G392" s="49" t="s">
        <v>16</v>
      </c>
      <c r="H392" s="11">
        <v>22631</v>
      </c>
      <c r="I392" s="11" t="s">
        <v>17</v>
      </c>
      <c r="J392" s="49" t="s">
        <v>18</v>
      </c>
      <c r="K392" s="50">
        <v>9.9</v>
      </c>
      <c r="L392" s="51">
        <f ca="1">TRUNC((TODAY()-tBase[[#This Row],[Data Nascimento]])/365)</f>
        <v>64</v>
      </c>
      <c r="M392" s="49" t="str">
        <f ca="1">HLOOKUP(tBase[[#This Row],[Idade]],$P$7:$S$8,2,TRUE)</f>
        <v>54-70</v>
      </c>
    </row>
    <row r="393" spans="2:13">
      <c r="B393" s="48">
        <v>38032052054</v>
      </c>
      <c r="C393" s="49" t="s">
        <v>243</v>
      </c>
      <c r="D393" s="49" t="s">
        <v>13</v>
      </c>
      <c r="E393" s="49" t="s">
        <v>214</v>
      </c>
      <c r="F393" s="49" t="s">
        <v>40</v>
      </c>
      <c r="G393" s="49" t="s">
        <v>16</v>
      </c>
      <c r="H393" s="11">
        <v>29401</v>
      </c>
      <c r="I393" s="11" t="s">
        <v>19</v>
      </c>
      <c r="J393" s="49" t="s">
        <v>41</v>
      </c>
      <c r="K393" s="50">
        <v>29.9</v>
      </c>
      <c r="L393" s="51">
        <f ca="1">TRUNC((TODAY()-tBase[[#This Row],[Data Nascimento]])/365)</f>
        <v>45</v>
      </c>
      <c r="M393" s="49" t="str">
        <f ca="1">HLOOKUP(tBase[[#This Row],[Idade]],$P$7:$S$8,2,TRUE)</f>
        <v>44 - 54</v>
      </c>
    </row>
    <row r="394" spans="2:13">
      <c r="B394" s="48">
        <v>49215142467</v>
      </c>
      <c r="C394" s="49" t="s">
        <v>243</v>
      </c>
      <c r="D394" s="49" t="s">
        <v>13</v>
      </c>
      <c r="E394" s="49" t="s">
        <v>214</v>
      </c>
      <c r="F394" s="49" t="s">
        <v>40</v>
      </c>
      <c r="G394" s="49" t="s">
        <v>16</v>
      </c>
      <c r="H394" s="11">
        <v>32154</v>
      </c>
      <c r="I394" s="11" t="s">
        <v>17</v>
      </c>
      <c r="J394" s="49" t="s">
        <v>41</v>
      </c>
      <c r="K394" s="50">
        <v>29.9</v>
      </c>
      <c r="L394" s="51">
        <f ca="1">TRUNC((TODAY()-tBase[[#This Row],[Data Nascimento]])/365)</f>
        <v>38</v>
      </c>
      <c r="M394" s="49" t="str">
        <f ca="1">HLOOKUP(tBase[[#This Row],[Idade]],$P$7:$S$8,2,TRUE)</f>
        <v>35 - 44</v>
      </c>
    </row>
    <row r="395" spans="2:13">
      <c r="B395" s="48">
        <v>46370856674</v>
      </c>
      <c r="C395" s="49" t="s">
        <v>244</v>
      </c>
      <c r="D395" s="49" t="s">
        <v>13</v>
      </c>
      <c r="E395" s="49" t="s">
        <v>214</v>
      </c>
      <c r="F395" s="49" t="s">
        <v>59</v>
      </c>
      <c r="G395" s="49" t="s">
        <v>16</v>
      </c>
      <c r="H395" s="11">
        <v>26710</v>
      </c>
      <c r="I395" s="11" t="s">
        <v>17</v>
      </c>
      <c r="J395" s="49" t="s">
        <v>33</v>
      </c>
      <c r="K395" s="50">
        <v>79.900000000000006</v>
      </c>
      <c r="L395" s="51">
        <f ca="1">TRUNC((TODAY()-tBase[[#This Row],[Data Nascimento]])/365)</f>
        <v>53</v>
      </c>
      <c r="M395" s="49" t="str">
        <f ca="1">HLOOKUP(tBase[[#This Row],[Idade]],$P$7:$S$8,2,TRUE)</f>
        <v>44 - 54</v>
      </c>
    </row>
    <row r="396" spans="2:13">
      <c r="B396" s="48">
        <v>55332904919</v>
      </c>
      <c r="C396" s="49" t="s">
        <v>244</v>
      </c>
      <c r="D396" s="49" t="s">
        <v>13</v>
      </c>
      <c r="E396" s="49" t="s">
        <v>214</v>
      </c>
      <c r="F396" s="49" t="s">
        <v>59</v>
      </c>
      <c r="G396" s="49" t="s">
        <v>16</v>
      </c>
      <c r="H396" s="11">
        <v>28441</v>
      </c>
      <c r="I396" s="11" t="s">
        <v>72</v>
      </c>
      <c r="J396" s="49" t="s">
        <v>33</v>
      </c>
      <c r="K396" s="50">
        <v>79.900000000000006</v>
      </c>
      <c r="L396" s="51">
        <f ca="1">TRUNC((TODAY()-tBase[[#This Row],[Data Nascimento]])/365)</f>
        <v>48</v>
      </c>
      <c r="M396" s="49" t="str">
        <f ca="1">HLOOKUP(tBase[[#This Row],[Idade]],$P$7:$S$8,2,TRUE)</f>
        <v>44 - 54</v>
      </c>
    </row>
    <row r="397" spans="2:13">
      <c r="B397" s="48">
        <v>51483423208</v>
      </c>
      <c r="C397" s="49" t="s">
        <v>245</v>
      </c>
      <c r="D397" s="49" t="s">
        <v>13</v>
      </c>
      <c r="E397" s="49" t="s">
        <v>214</v>
      </c>
      <c r="F397" s="49" t="s">
        <v>15</v>
      </c>
      <c r="G397" s="49" t="s">
        <v>52</v>
      </c>
      <c r="H397" s="11">
        <v>34562</v>
      </c>
      <c r="I397" s="11" t="s">
        <v>24</v>
      </c>
      <c r="J397" s="49" t="s">
        <v>18</v>
      </c>
      <c r="K397" s="50">
        <v>9.9</v>
      </c>
      <c r="L397" s="51">
        <f ca="1">TRUNC((TODAY()-tBase[[#This Row],[Data Nascimento]])/365)</f>
        <v>31</v>
      </c>
      <c r="M397" s="49" t="str">
        <f ca="1">HLOOKUP(tBase[[#This Row],[Idade]],$P$7:$S$8,2,TRUE)</f>
        <v>24-34</v>
      </c>
    </row>
    <row r="398" spans="2:13">
      <c r="B398" s="48">
        <v>92420051701</v>
      </c>
      <c r="C398" s="49" t="s">
        <v>245</v>
      </c>
      <c r="D398" s="49" t="s">
        <v>13</v>
      </c>
      <c r="E398" s="49" t="s">
        <v>214</v>
      </c>
      <c r="F398" s="49" t="s">
        <v>15</v>
      </c>
      <c r="G398" s="49" t="s">
        <v>52</v>
      </c>
      <c r="H398" s="11">
        <v>35594</v>
      </c>
      <c r="I398" s="11" t="s">
        <v>17</v>
      </c>
      <c r="J398" s="49" t="s">
        <v>18</v>
      </c>
      <c r="K398" s="50">
        <v>9.9</v>
      </c>
      <c r="L398" s="51">
        <f ca="1">TRUNC((TODAY()-tBase[[#This Row],[Data Nascimento]])/365)</f>
        <v>28</v>
      </c>
      <c r="M398" s="49" t="str">
        <f ca="1">HLOOKUP(tBase[[#This Row],[Idade]],$P$7:$S$8,2,TRUE)</f>
        <v>24-34</v>
      </c>
    </row>
    <row r="399" spans="2:13">
      <c r="B399" s="48">
        <v>43690634952</v>
      </c>
      <c r="C399" s="49" t="s">
        <v>246</v>
      </c>
      <c r="D399" s="49" t="s">
        <v>13</v>
      </c>
      <c r="E399" s="49" t="s">
        <v>214</v>
      </c>
      <c r="F399" s="49" t="s">
        <v>15</v>
      </c>
      <c r="G399" s="49" t="s">
        <v>16</v>
      </c>
      <c r="H399" s="11">
        <v>20978</v>
      </c>
      <c r="I399" s="11" t="s">
        <v>19</v>
      </c>
      <c r="J399" s="49" t="s">
        <v>41</v>
      </c>
      <c r="K399" s="50">
        <v>29.9</v>
      </c>
      <c r="L399" s="51">
        <f ca="1">TRUNC((TODAY()-tBase[[#This Row],[Data Nascimento]])/365)</f>
        <v>68</v>
      </c>
      <c r="M399" s="49" t="str">
        <f ca="1">HLOOKUP(tBase[[#This Row],[Idade]],$P$7:$S$8,2,TRUE)</f>
        <v>54-70</v>
      </c>
    </row>
    <row r="400" spans="2:13">
      <c r="B400" s="48">
        <v>94654130097</v>
      </c>
      <c r="C400" s="49" t="s">
        <v>246</v>
      </c>
      <c r="D400" s="49" t="s">
        <v>13</v>
      </c>
      <c r="E400" s="49" t="s">
        <v>214</v>
      </c>
      <c r="F400" s="49" t="s">
        <v>15</v>
      </c>
      <c r="G400" s="49" t="s">
        <v>32</v>
      </c>
      <c r="H400" s="11">
        <v>34894</v>
      </c>
      <c r="I400" s="11" t="s">
        <v>17</v>
      </c>
      <c r="J400" s="49" t="s">
        <v>41</v>
      </c>
      <c r="K400" s="50">
        <v>29.9</v>
      </c>
      <c r="L400" s="51">
        <f ca="1">TRUNC((TODAY()-tBase[[#This Row],[Data Nascimento]])/365)</f>
        <v>30</v>
      </c>
      <c r="M400" s="49" t="str">
        <f ca="1">HLOOKUP(tBase[[#This Row],[Idade]],$P$7:$S$8,2,TRUE)</f>
        <v>24-34</v>
      </c>
    </row>
    <row r="401" spans="2:13">
      <c r="B401" s="48">
        <v>26864897176</v>
      </c>
      <c r="C401" s="49" t="s">
        <v>247</v>
      </c>
      <c r="D401" s="49" t="s">
        <v>43</v>
      </c>
      <c r="E401" s="49" t="s">
        <v>214</v>
      </c>
      <c r="F401" s="49" t="s">
        <v>40</v>
      </c>
      <c r="G401" s="49" t="s">
        <v>16</v>
      </c>
      <c r="H401" s="11">
        <v>23831</v>
      </c>
      <c r="I401" s="11" t="s">
        <v>19</v>
      </c>
      <c r="J401" s="49" t="s">
        <v>41</v>
      </c>
      <c r="K401" s="50">
        <v>29.9</v>
      </c>
      <c r="L401" s="51">
        <f ca="1">TRUNC((TODAY()-tBase[[#This Row],[Data Nascimento]])/365)</f>
        <v>61</v>
      </c>
      <c r="M401" s="49" t="str">
        <f ca="1">HLOOKUP(tBase[[#This Row],[Idade]],$P$7:$S$8,2,TRUE)</f>
        <v>54-70</v>
      </c>
    </row>
    <row r="402" spans="2:13">
      <c r="B402" s="48">
        <v>71434327238</v>
      </c>
      <c r="C402" s="49" t="s">
        <v>247</v>
      </c>
      <c r="D402" s="49" t="s">
        <v>43</v>
      </c>
      <c r="E402" s="49" t="s">
        <v>214</v>
      </c>
      <c r="F402" s="49" t="s">
        <v>40</v>
      </c>
      <c r="G402" s="49" t="s">
        <v>16</v>
      </c>
      <c r="H402" s="11">
        <v>32926</v>
      </c>
      <c r="I402" s="11" t="s">
        <v>72</v>
      </c>
      <c r="J402" s="49" t="s">
        <v>41</v>
      </c>
      <c r="K402" s="50">
        <v>29.9</v>
      </c>
      <c r="L402" s="51">
        <f ca="1">TRUNC((TODAY()-tBase[[#This Row],[Data Nascimento]])/365)</f>
        <v>36</v>
      </c>
      <c r="M402" s="49" t="str">
        <f ca="1">HLOOKUP(tBase[[#This Row],[Idade]],$P$7:$S$8,2,TRUE)</f>
        <v>35 - 44</v>
      </c>
    </row>
    <row r="403" spans="2:13">
      <c r="B403" s="48">
        <v>41339088783</v>
      </c>
      <c r="C403" s="49" t="s">
        <v>248</v>
      </c>
      <c r="D403" s="49" t="s">
        <v>43</v>
      </c>
      <c r="E403" s="49" t="s">
        <v>214</v>
      </c>
      <c r="F403" s="49" t="s">
        <v>59</v>
      </c>
      <c r="G403" s="49" t="s">
        <v>32</v>
      </c>
      <c r="H403" s="11">
        <v>25150</v>
      </c>
      <c r="I403" s="11" t="s">
        <v>17</v>
      </c>
      <c r="J403" s="49" t="s">
        <v>18</v>
      </c>
      <c r="K403" s="50">
        <v>9.9</v>
      </c>
      <c r="L403" s="51">
        <f ca="1">TRUNC((TODAY()-tBase[[#This Row],[Data Nascimento]])/365)</f>
        <v>57</v>
      </c>
      <c r="M403" s="49" t="str">
        <f ca="1">HLOOKUP(tBase[[#This Row],[Idade]],$P$7:$S$8,2,TRUE)</f>
        <v>54-70</v>
      </c>
    </row>
    <row r="404" spans="2:13">
      <c r="B404" s="48">
        <v>46621773048</v>
      </c>
      <c r="C404" s="49" t="s">
        <v>248</v>
      </c>
      <c r="D404" s="49" t="s">
        <v>43</v>
      </c>
      <c r="E404" s="49" t="s">
        <v>214</v>
      </c>
      <c r="F404" s="49" t="s">
        <v>59</v>
      </c>
      <c r="G404" s="49" t="s">
        <v>32</v>
      </c>
      <c r="H404" s="11">
        <v>23709</v>
      </c>
      <c r="I404" s="11" t="s">
        <v>72</v>
      </c>
      <c r="J404" s="49" t="s">
        <v>18</v>
      </c>
      <c r="K404" s="50">
        <v>9.9</v>
      </c>
      <c r="L404" s="51">
        <f ca="1">TRUNC((TODAY()-tBase[[#This Row],[Data Nascimento]])/365)</f>
        <v>61</v>
      </c>
      <c r="M404" s="49" t="str">
        <f ca="1">HLOOKUP(tBase[[#This Row],[Idade]],$P$7:$S$8,2,TRUE)</f>
        <v>54-70</v>
      </c>
    </row>
    <row r="405" spans="2:13">
      <c r="B405" s="48">
        <v>25585315115</v>
      </c>
      <c r="C405" s="49" t="s">
        <v>249</v>
      </c>
      <c r="D405" s="49" t="s">
        <v>43</v>
      </c>
      <c r="E405" s="49" t="s">
        <v>214</v>
      </c>
      <c r="F405" s="49" t="s">
        <v>38</v>
      </c>
      <c r="G405" s="49" t="s">
        <v>32</v>
      </c>
      <c r="H405" s="11">
        <v>28355</v>
      </c>
      <c r="I405" s="11" t="s">
        <v>17</v>
      </c>
      <c r="J405" s="49" t="s">
        <v>18</v>
      </c>
      <c r="K405" s="50">
        <v>9.9</v>
      </c>
      <c r="L405" s="51">
        <f ca="1">TRUNC((TODAY()-tBase[[#This Row],[Data Nascimento]])/365)</f>
        <v>48</v>
      </c>
      <c r="M405" s="49" t="str">
        <f ca="1">HLOOKUP(tBase[[#This Row],[Idade]],$P$7:$S$8,2,TRUE)</f>
        <v>44 - 54</v>
      </c>
    </row>
    <row r="406" spans="2:13">
      <c r="B406" s="48">
        <v>63795122122</v>
      </c>
      <c r="C406" s="49" t="s">
        <v>249</v>
      </c>
      <c r="D406" s="49" t="s">
        <v>43</v>
      </c>
      <c r="E406" s="49" t="s">
        <v>214</v>
      </c>
      <c r="F406" s="49" t="s">
        <v>38</v>
      </c>
      <c r="G406" s="49" t="s">
        <v>32</v>
      </c>
      <c r="H406" s="11">
        <v>34107</v>
      </c>
      <c r="I406" s="11" t="s">
        <v>17</v>
      </c>
      <c r="J406" s="49" t="s">
        <v>18</v>
      </c>
      <c r="K406" s="50">
        <v>9.9</v>
      </c>
      <c r="L406" s="51">
        <f ca="1">TRUNC((TODAY()-tBase[[#This Row],[Data Nascimento]])/365)</f>
        <v>32</v>
      </c>
      <c r="M406" s="49" t="str">
        <f ca="1">HLOOKUP(tBase[[#This Row],[Idade]],$P$7:$S$8,2,TRUE)</f>
        <v>24-34</v>
      </c>
    </row>
    <row r="407" spans="2:13">
      <c r="B407" s="48">
        <v>37045628622</v>
      </c>
      <c r="C407" s="49" t="s">
        <v>250</v>
      </c>
      <c r="D407" s="49" t="s">
        <v>43</v>
      </c>
      <c r="E407" s="49" t="s">
        <v>214</v>
      </c>
      <c r="F407" s="49" t="s">
        <v>15</v>
      </c>
      <c r="G407" s="49" t="s">
        <v>16</v>
      </c>
      <c r="H407" s="11">
        <v>24936</v>
      </c>
      <c r="I407" s="11" t="s">
        <v>19</v>
      </c>
      <c r="J407" s="49" t="s">
        <v>41</v>
      </c>
      <c r="K407" s="50">
        <v>29.9</v>
      </c>
      <c r="L407" s="51">
        <f ca="1">TRUNC((TODAY()-tBase[[#This Row],[Data Nascimento]])/365)</f>
        <v>58</v>
      </c>
      <c r="M407" s="49" t="str">
        <f ca="1">HLOOKUP(tBase[[#This Row],[Idade]],$P$7:$S$8,2,TRUE)</f>
        <v>54-70</v>
      </c>
    </row>
    <row r="408" spans="2:13">
      <c r="B408" s="48">
        <v>91518429185</v>
      </c>
      <c r="C408" s="49" t="s">
        <v>250</v>
      </c>
      <c r="D408" s="49" t="s">
        <v>43</v>
      </c>
      <c r="E408" s="49" t="s">
        <v>214</v>
      </c>
      <c r="F408" s="49" t="s">
        <v>15</v>
      </c>
      <c r="G408" s="49" t="s">
        <v>16</v>
      </c>
      <c r="H408" s="11">
        <v>31840</v>
      </c>
      <c r="I408" s="11" t="s">
        <v>17</v>
      </c>
      <c r="J408" s="49" t="s">
        <v>41</v>
      </c>
      <c r="K408" s="50">
        <v>29.9</v>
      </c>
      <c r="L408" s="51">
        <f ca="1">TRUNC((TODAY()-tBase[[#This Row],[Data Nascimento]])/365)</f>
        <v>39</v>
      </c>
      <c r="M408" s="49" t="str">
        <f ca="1">HLOOKUP(tBase[[#This Row],[Idade]],$P$7:$S$8,2,TRUE)</f>
        <v>35 - 44</v>
      </c>
    </row>
    <row r="409" spans="2:13">
      <c r="B409" s="48">
        <v>42013420174</v>
      </c>
      <c r="C409" s="49" t="s">
        <v>42</v>
      </c>
      <c r="D409" s="49" t="s">
        <v>43</v>
      </c>
      <c r="E409" s="49" t="s">
        <v>214</v>
      </c>
      <c r="F409" s="49" t="s">
        <v>38</v>
      </c>
      <c r="G409" s="49" t="s">
        <v>32</v>
      </c>
      <c r="H409" s="11">
        <v>20566</v>
      </c>
      <c r="I409" s="11" t="s">
        <v>19</v>
      </c>
      <c r="J409" s="49" t="s">
        <v>44</v>
      </c>
      <c r="K409" s="50">
        <v>35.9</v>
      </c>
      <c r="L409" s="51">
        <f ca="1">TRUNC((TODAY()-tBase[[#This Row],[Data Nascimento]])/365)</f>
        <v>69</v>
      </c>
      <c r="M409" s="49" t="str">
        <f ca="1">HLOOKUP(tBase[[#This Row],[Idade]],$P$7:$S$8,2,TRUE)</f>
        <v>54-70</v>
      </c>
    </row>
    <row r="410" spans="2:13">
      <c r="B410" s="48">
        <v>43990474257</v>
      </c>
      <c r="C410" s="49" t="s">
        <v>251</v>
      </c>
      <c r="D410" s="49" t="s">
        <v>43</v>
      </c>
      <c r="E410" s="49" t="s">
        <v>214</v>
      </c>
      <c r="F410" s="49" t="s">
        <v>38</v>
      </c>
      <c r="G410" s="49" t="s">
        <v>52</v>
      </c>
      <c r="H410" s="11">
        <v>28750</v>
      </c>
      <c r="I410" s="11" t="s">
        <v>17</v>
      </c>
      <c r="J410" s="49" t="s">
        <v>41</v>
      </c>
      <c r="K410" s="50">
        <v>29.9</v>
      </c>
      <c r="L410" s="51">
        <f ca="1">TRUNC((TODAY()-tBase[[#This Row],[Data Nascimento]])/365)</f>
        <v>47</v>
      </c>
      <c r="M410" s="49" t="str">
        <f ca="1">HLOOKUP(tBase[[#This Row],[Idade]],$P$7:$S$8,2,TRUE)</f>
        <v>44 - 54</v>
      </c>
    </row>
    <row r="411" spans="2:13">
      <c r="B411" s="48">
        <v>58366156412</v>
      </c>
      <c r="C411" s="49" t="s">
        <v>251</v>
      </c>
      <c r="D411" s="49" t="s">
        <v>43</v>
      </c>
      <c r="E411" s="49" t="s">
        <v>214</v>
      </c>
      <c r="F411" s="49" t="s">
        <v>38</v>
      </c>
      <c r="G411" s="49" t="s">
        <v>52</v>
      </c>
      <c r="H411" s="11">
        <v>32079</v>
      </c>
      <c r="I411" s="11" t="s">
        <v>17</v>
      </c>
      <c r="J411" s="49" t="s">
        <v>41</v>
      </c>
      <c r="K411" s="50">
        <v>29.9</v>
      </c>
      <c r="L411" s="51">
        <f ca="1">TRUNC((TODAY()-tBase[[#This Row],[Data Nascimento]])/365)</f>
        <v>38</v>
      </c>
      <c r="M411" s="49" t="str">
        <f ca="1">HLOOKUP(tBase[[#This Row],[Idade]],$P$7:$S$8,2,TRUE)</f>
        <v>35 - 44</v>
      </c>
    </row>
    <row r="412" spans="2:13">
      <c r="B412" s="48">
        <v>50105898295</v>
      </c>
      <c r="C412" s="49" t="s">
        <v>252</v>
      </c>
      <c r="D412" s="49" t="s">
        <v>43</v>
      </c>
      <c r="E412" s="49" t="s">
        <v>214</v>
      </c>
      <c r="F412" s="49" t="s">
        <v>59</v>
      </c>
      <c r="G412" s="49" t="s">
        <v>32</v>
      </c>
      <c r="H412" s="11">
        <v>20937</v>
      </c>
      <c r="I412" s="11" t="s">
        <v>54</v>
      </c>
      <c r="J412" s="49" t="s">
        <v>18</v>
      </c>
      <c r="K412" s="50">
        <v>9.9</v>
      </c>
      <c r="L412" s="51">
        <f ca="1">TRUNC((TODAY()-tBase[[#This Row],[Data Nascimento]])/365)</f>
        <v>68</v>
      </c>
      <c r="M412" s="49" t="str">
        <f ca="1">HLOOKUP(tBase[[#This Row],[Idade]],$P$7:$S$8,2,TRUE)</f>
        <v>54-70</v>
      </c>
    </row>
    <row r="413" spans="2:13">
      <c r="B413" s="48">
        <v>77353989708</v>
      </c>
      <c r="C413" s="49" t="s">
        <v>252</v>
      </c>
      <c r="D413" s="49" t="s">
        <v>43</v>
      </c>
      <c r="E413" s="49" t="s">
        <v>214</v>
      </c>
      <c r="F413" s="49" t="s">
        <v>59</v>
      </c>
      <c r="G413" s="49" t="s">
        <v>32</v>
      </c>
      <c r="H413" s="11">
        <v>24939</v>
      </c>
      <c r="I413" s="11" t="s">
        <v>19</v>
      </c>
      <c r="J413" s="49" t="s">
        <v>18</v>
      </c>
      <c r="K413" s="50">
        <v>9.9</v>
      </c>
      <c r="L413" s="51">
        <f ca="1">TRUNC((TODAY()-tBase[[#This Row],[Data Nascimento]])/365)</f>
        <v>58</v>
      </c>
      <c r="M413" s="49" t="str">
        <f ca="1">HLOOKUP(tBase[[#This Row],[Idade]],$P$7:$S$8,2,TRUE)</f>
        <v>54-70</v>
      </c>
    </row>
    <row r="414" spans="2:13">
      <c r="B414" s="48">
        <v>47245946960</v>
      </c>
      <c r="C414" s="49" t="s">
        <v>253</v>
      </c>
      <c r="D414" s="49" t="s">
        <v>43</v>
      </c>
      <c r="E414" s="49" t="s">
        <v>214</v>
      </c>
      <c r="F414" s="49" t="s">
        <v>59</v>
      </c>
      <c r="G414" s="49" t="s">
        <v>32</v>
      </c>
      <c r="H414" s="11">
        <v>29352</v>
      </c>
      <c r="I414" s="11" t="s">
        <v>17</v>
      </c>
      <c r="J414" s="49" t="s">
        <v>18</v>
      </c>
      <c r="K414" s="50">
        <v>9.9</v>
      </c>
      <c r="L414" s="51">
        <f ca="1">TRUNC((TODAY()-tBase[[#This Row],[Data Nascimento]])/365)</f>
        <v>45</v>
      </c>
      <c r="M414" s="49" t="str">
        <f ca="1">HLOOKUP(tBase[[#This Row],[Idade]],$P$7:$S$8,2,TRUE)</f>
        <v>44 - 54</v>
      </c>
    </row>
    <row r="415" spans="2:13">
      <c r="B415" s="48">
        <v>89719385812</v>
      </c>
      <c r="C415" s="49" t="s">
        <v>253</v>
      </c>
      <c r="D415" s="49" t="s">
        <v>43</v>
      </c>
      <c r="E415" s="49" t="s">
        <v>214</v>
      </c>
      <c r="F415" s="49" t="s">
        <v>59</v>
      </c>
      <c r="G415" s="49" t="s">
        <v>32</v>
      </c>
      <c r="H415" s="11">
        <v>24801</v>
      </c>
      <c r="I415" s="11" t="s">
        <v>46</v>
      </c>
      <c r="J415" s="49" t="s">
        <v>18</v>
      </c>
      <c r="K415" s="50">
        <v>9.9</v>
      </c>
      <c r="L415" s="51">
        <f ca="1">TRUNC((TODAY()-tBase[[#This Row],[Data Nascimento]])/365)</f>
        <v>58</v>
      </c>
      <c r="M415" s="49" t="str">
        <f ca="1">HLOOKUP(tBase[[#This Row],[Idade]],$P$7:$S$8,2,TRUE)</f>
        <v>54-70</v>
      </c>
    </row>
    <row r="416" spans="2:13">
      <c r="B416" s="48">
        <v>23812290184</v>
      </c>
      <c r="C416" s="49" t="s">
        <v>254</v>
      </c>
      <c r="D416" s="49" t="s">
        <v>43</v>
      </c>
      <c r="E416" s="49" t="s">
        <v>214</v>
      </c>
      <c r="F416" s="49" t="s">
        <v>15</v>
      </c>
      <c r="G416" s="49" t="s">
        <v>16</v>
      </c>
      <c r="H416" s="11">
        <v>33788</v>
      </c>
      <c r="I416" s="11" t="s">
        <v>17</v>
      </c>
      <c r="J416" s="49" t="s">
        <v>41</v>
      </c>
      <c r="K416" s="50">
        <v>29.9</v>
      </c>
      <c r="L416" s="51">
        <f ca="1">TRUNC((TODAY()-tBase[[#This Row],[Data Nascimento]])/365)</f>
        <v>33</v>
      </c>
      <c r="M416" s="49" t="str">
        <f ca="1">HLOOKUP(tBase[[#This Row],[Idade]],$P$7:$S$8,2,TRUE)</f>
        <v>24-34</v>
      </c>
    </row>
    <row r="417" spans="2:13">
      <c r="B417" s="48">
        <v>88165679068</v>
      </c>
      <c r="C417" s="49" t="s">
        <v>254</v>
      </c>
      <c r="D417" s="49" t="s">
        <v>43</v>
      </c>
      <c r="E417" s="49" t="s">
        <v>214</v>
      </c>
      <c r="F417" s="49" t="s">
        <v>15</v>
      </c>
      <c r="G417" s="49" t="s">
        <v>16</v>
      </c>
      <c r="H417" s="11">
        <v>32167</v>
      </c>
      <c r="I417" s="11" t="s">
        <v>17</v>
      </c>
      <c r="J417" s="49" t="s">
        <v>41</v>
      </c>
      <c r="K417" s="50">
        <v>29.9</v>
      </c>
      <c r="L417" s="51">
        <f ca="1">TRUNC((TODAY()-tBase[[#This Row],[Data Nascimento]])/365)</f>
        <v>38</v>
      </c>
      <c r="M417" s="49" t="str">
        <f ca="1">HLOOKUP(tBase[[#This Row],[Idade]],$P$7:$S$8,2,TRUE)</f>
        <v>35 - 44</v>
      </c>
    </row>
    <row r="418" spans="2:13">
      <c r="B418" s="48">
        <v>54742058650</v>
      </c>
      <c r="C418" s="49" t="s">
        <v>255</v>
      </c>
      <c r="D418" s="49" t="s">
        <v>43</v>
      </c>
      <c r="E418" s="49" t="s">
        <v>214</v>
      </c>
      <c r="F418" s="49" t="s">
        <v>15</v>
      </c>
      <c r="G418" s="49" t="s">
        <v>32</v>
      </c>
      <c r="H418" s="11">
        <v>25846</v>
      </c>
      <c r="I418" s="11" t="s">
        <v>17</v>
      </c>
      <c r="J418" s="49" t="s">
        <v>41</v>
      </c>
      <c r="K418" s="50">
        <v>29.9</v>
      </c>
      <c r="L418" s="51">
        <f ca="1">TRUNC((TODAY()-tBase[[#This Row],[Data Nascimento]])/365)</f>
        <v>55</v>
      </c>
      <c r="M418" s="49" t="str">
        <f ca="1">HLOOKUP(tBase[[#This Row],[Idade]],$P$7:$S$8,2,TRUE)</f>
        <v>54-70</v>
      </c>
    </row>
    <row r="419" spans="2:13">
      <c r="B419" s="48">
        <v>55499979478</v>
      </c>
      <c r="C419" s="49" t="s">
        <v>255</v>
      </c>
      <c r="D419" s="49" t="s">
        <v>43</v>
      </c>
      <c r="E419" s="49" t="s">
        <v>214</v>
      </c>
      <c r="F419" s="49" t="s">
        <v>15</v>
      </c>
      <c r="G419" s="49" t="s">
        <v>32</v>
      </c>
      <c r="H419" s="11">
        <v>26185</v>
      </c>
      <c r="I419" s="11" t="s">
        <v>19</v>
      </c>
      <c r="J419" s="49" t="s">
        <v>41</v>
      </c>
      <c r="K419" s="50">
        <v>29.9</v>
      </c>
      <c r="L419" s="51">
        <f ca="1">TRUNC((TODAY()-tBase[[#This Row],[Data Nascimento]])/365)</f>
        <v>54</v>
      </c>
      <c r="M419" s="49" t="str">
        <f ca="1">HLOOKUP(tBase[[#This Row],[Idade]],$P$7:$S$8,2,TRUE)</f>
        <v>54-70</v>
      </c>
    </row>
    <row r="420" spans="2:13">
      <c r="B420" s="48">
        <v>28153849933</v>
      </c>
      <c r="C420" s="49" t="s">
        <v>256</v>
      </c>
      <c r="D420" s="49" t="s">
        <v>43</v>
      </c>
      <c r="E420" s="49" t="s">
        <v>214</v>
      </c>
      <c r="F420" s="49" t="s">
        <v>15</v>
      </c>
      <c r="G420" s="49" t="s">
        <v>52</v>
      </c>
      <c r="H420" s="11">
        <v>27315</v>
      </c>
      <c r="I420" s="11" t="s">
        <v>21</v>
      </c>
      <c r="J420" s="49" t="s">
        <v>33</v>
      </c>
      <c r="K420" s="50">
        <v>79.900000000000006</v>
      </c>
      <c r="L420" s="51">
        <f ca="1">TRUNC((TODAY()-tBase[[#This Row],[Data Nascimento]])/365)</f>
        <v>51</v>
      </c>
      <c r="M420" s="49" t="str">
        <f ca="1">HLOOKUP(tBase[[#This Row],[Idade]],$P$7:$S$8,2,TRUE)</f>
        <v>44 - 54</v>
      </c>
    </row>
    <row r="421" spans="2:13">
      <c r="B421" s="48">
        <v>47365199226</v>
      </c>
      <c r="C421" s="49" t="s">
        <v>256</v>
      </c>
      <c r="D421" s="49" t="s">
        <v>43</v>
      </c>
      <c r="E421" s="49" t="s">
        <v>214</v>
      </c>
      <c r="F421" s="49" t="s">
        <v>15</v>
      </c>
      <c r="G421" s="49" t="s">
        <v>52</v>
      </c>
      <c r="H421" s="11">
        <v>32275</v>
      </c>
      <c r="I421" s="11" t="s">
        <v>17</v>
      </c>
      <c r="J421" s="49" t="s">
        <v>33</v>
      </c>
      <c r="K421" s="50">
        <v>79.900000000000006</v>
      </c>
      <c r="L421" s="51">
        <f ca="1">TRUNC((TODAY()-tBase[[#This Row],[Data Nascimento]])/365)</f>
        <v>37</v>
      </c>
      <c r="M421" s="49" t="str">
        <f ca="1">HLOOKUP(tBase[[#This Row],[Idade]],$P$7:$S$8,2,TRUE)</f>
        <v>35 - 44</v>
      </c>
    </row>
    <row r="422" spans="2:13">
      <c r="B422" s="48">
        <v>36403873767</v>
      </c>
      <c r="C422" s="49" t="s">
        <v>257</v>
      </c>
      <c r="D422" s="49" t="s">
        <v>43</v>
      </c>
      <c r="E422" s="49" t="s">
        <v>214</v>
      </c>
      <c r="F422" s="49" t="s">
        <v>59</v>
      </c>
      <c r="G422" s="49" t="s">
        <v>52</v>
      </c>
      <c r="H422" s="11">
        <v>23274</v>
      </c>
      <c r="I422" s="11" t="s">
        <v>17</v>
      </c>
      <c r="J422" s="49" t="s">
        <v>44</v>
      </c>
      <c r="K422" s="50">
        <v>35.9</v>
      </c>
      <c r="L422" s="51">
        <f ca="1">TRUNC((TODAY()-tBase[[#This Row],[Data Nascimento]])/365)</f>
        <v>62</v>
      </c>
      <c r="M422" s="49" t="str">
        <f ca="1">HLOOKUP(tBase[[#This Row],[Idade]],$P$7:$S$8,2,TRUE)</f>
        <v>54-70</v>
      </c>
    </row>
    <row r="423" spans="2:13">
      <c r="B423" s="48">
        <v>36755533362</v>
      </c>
      <c r="C423" s="49" t="s">
        <v>257</v>
      </c>
      <c r="D423" s="49" t="s">
        <v>43</v>
      </c>
      <c r="E423" s="49" t="s">
        <v>214</v>
      </c>
      <c r="F423" s="49" t="s">
        <v>59</v>
      </c>
      <c r="G423" s="49" t="s">
        <v>52</v>
      </c>
      <c r="H423" s="11">
        <v>33244</v>
      </c>
      <c r="I423" s="11" t="s">
        <v>24</v>
      </c>
      <c r="J423" s="49" t="s">
        <v>44</v>
      </c>
      <c r="K423" s="50">
        <v>35.9</v>
      </c>
      <c r="L423" s="51">
        <f ca="1">TRUNC((TODAY()-tBase[[#This Row],[Data Nascimento]])/365)</f>
        <v>35</v>
      </c>
      <c r="M423" s="49" t="str">
        <f ca="1">HLOOKUP(tBase[[#This Row],[Idade]],$P$7:$S$8,2,TRUE)</f>
        <v>35 - 44</v>
      </c>
    </row>
    <row r="424" spans="2:13">
      <c r="B424" s="48">
        <v>29210849513</v>
      </c>
      <c r="C424" s="49" t="s">
        <v>258</v>
      </c>
      <c r="D424" s="49" t="s">
        <v>43</v>
      </c>
      <c r="E424" s="49" t="s">
        <v>214</v>
      </c>
      <c r="F424" s="49" t="s">
        <v>38</v>
      </c>
      <c r="G424" s="49" t="s">
        <v>32</v>
      </c>
      <c r="H424" s="11">
        <v>22704</v>
      </c>
      <c r="I424" s="11" t="s">
        <v>19</v>
      </c>
      <c r="J424" s="49" t="s">
        <v>44</v>
      </c>
      <c r="K424" s="50">
        <v>35.9</v>
      </c>
      <c r="L424" s="51">
        <f ca="1">TRUNC((TODAY()-tBase[[#This Row],[Data Nascimento]])/365)</f>
        <v>64</v>
      </c>
      <c r="M424" s="49" t="str">
        <f ca="1">HLOOKUP(tBase[[#This Row],[Idade]],$P$7:$S$8,2,TRUE)</f>
        <v>54-70</v>
      </c>
    </row>
    <row r="425" spans="2:13">
      <c r="B425" s="48">
        <v>34289791783</v>
      </c>
      <c r="C425" s="49" t="s">
        <v>258</v>
      </c>
      <c r="D425" s="49" t="s">
        <v>43</v>
      </c>
      <c r="E425" s="49" t="s">
        <v>214</v>
      </c>
      <c r="F425" s="49" t="s">
        <v>38</v>
      </c>
      <c r="G425" s="49" t="s">
        <v>32</v>
      </c>
      <c r="H425" s="11">
        <v>25886</v>
      </c>
      <c r="I425" s="11" t="s">
        <v>17</v>
      </c>
      <c r="J425" s="49" t="s">
        <v>44</v>
      </c>
      <c r="K425" s="50">
        <v>35.9</v>
      </c>
      <c r="L425" s="51">
        <f ca="1">TRUNC((TODAY()-tBase[[#This Row],[Data Nascimento]])/365)</f>
        <v>55</v>
      </c>
      <c r="M425" s="49" t="str">
        <f ca="1">HLOOKUP(tBase[[#This Row],[Idade]],$P$7:$S$8,2,TRUE)</f>
        <v>54-70</v>
      </c>
    </row>
    <row r="426" spans="2:13">
      <c r="B426" s="48">
        <v>33120179107</v>
      </c>
      <c r="C426" s="49" t="s">
        <v>259</v>
      </c>
      <c r="D426" s="49" t="s">
        <v>43</v>
      </c>
      <c r="E426" s="49" t="s">
        <v>214</v>
      </c>
      <c r="F426" s="49" t="s">
        <v>40</v>
      </c>
      <c r="G426" s="49" t="s">
        <v>16</v>
      </c>
      <c r="H426" s="11">
        <v>32048</v>
      </c>
      <c r="I426" s="11" t="s">
        <v>19</v>
      </c>
      <c r="J426" s="49" t="s">
        <v>41</v>
      </c>
      <c r="K426" s="50">
        <v>29.9</v>
      </c>
      <c r="L426" s="51">
        <f ca="1">TRUNC((TODAY()-tBase[[#This Row],[Data Nascimento]])/365)</f>
        <v>38</v>
      </c>
      <c r="M426" s="49" t="str">
        <f ca="1">HLOOKUP(tBase[[#This Row],[Idade]],$P$7:$S$8,2,TRUE)</f>
        <v>35 - 44</v>
      </c>
    </row>
    <row r="427" spans="2:13">
      <c r="B427" s="48">
        <v>65384833003</v>
      </c>
      <c r="C427" s="49" t="s">
        <v>259</v>
      </c>
      <c r="D427" s="49" t="s">
        <v>43</v>
      </c>
      <c r="E427" s="49" t="s">
        <v>214</v>
      </c>
      <c r="F427" s="49" t="s">
        <v>40</v>
      </c>
      <c r="G427" s="49" t="s">
        <v>16</v>
      </c>
      <c r="H427" s="11">
        <v>32222</v>
      </c>
      <c r="I427" s="11" t="s">
        <v>19</v>
      </c>
      <c r="J427" s="49" t="s">
        <v>41</v>
      </c>
      <c r="K427" s="50">
        <v>29.9</v>
      </c>
      <c r="L427" s="51">
        <f ca="1">TRUNC((TODAY()-tBase[[#This Row],[Data Nascimento]])/365)</f>
        <v>38</v>
      </c>
      <c r="M427" s="49" t="str">
        <f ca="1">HLOOKUP(tBase[[#This Row],[Idade]],$P$7:$S$8,2,TRUE)</f>
        <v>35 - 44</v>
      </c>
    </row>
    <row r="428" spans="2:13">
      <c r="B428" s="48">
        <v>53104808484</v>
      </c>
      <c r="C428" s="49" t="s">
        <v>260</v>
      </c>
      <c r="D428" s="49" t="s">
        <v>43</v>
      </c>
      <c r="E428" s="49" t="s">
        <v>214</v>
      </c>
      <c r="F428" s="49" t="s">
        <v>59</v>
      </c>
      <c r="G428" s="49" t="s">
        <v>52</v>
      </c>
      <c r="H428" s="11">
        <v>34593</v>
      </c>
      <c r="I428" s="11" t="s">
        <v>72</v>
      </c>
      <c r="J428" s="49" t="s">
        <v>44</v>
      </c>
      <c r="K428" s="50">
        <v>35.9</v>
      </c>
      <c r="L428" s="51">
        <f ca="1">TRUNC((TODAY()-tBase[[#This Row],[Data Nascimento]])/365)</f>
        <v>31</v>
      </c>
      <c r="M428" s="49" t="str">
        <f ca="1">HLOOKUP(tBase[[#This Row],[Idade]],$P$7:$S$8,2,TRUE)</f>
        <v>24-34</v>
      </c>
    </row>
    <row r="429" spans="2:13">
      <c r="B429" s="48">
        <v>90471108936</v>
      </c>
      <c r="C429" s="49" t="s">
        <v>260</v>
      </c>
      <c r="D429" s="49" t="s">
        <v>43</v>
      </c>
      <c r="E429" s="49" t="s">
        <v>214</v>
      </c>
      <c r="F429" s="49" t="s">
        <v>59</v>
      </c>
      <c r="G429" s="49" t="s">
        <v>52</v>
      </c>
      <c r="H429" s="11">
        <v>30379</v>
      </c>
      <c r="I429" s="11" t="s">
        <v>17</v>
      </c>
      <c r="J429" s="49" t="s">
        <v>44</v>
      </c>
      <c r="K429" s="50">
        <v>35.9</v>
      </c>
      <c r="L429" s="51">
        <f ca="1">TRUNC((TODAY()-tBase[[#This Row],[Data Nascimento]])/365)</f>
        <v>43</v>
      </c>
      <c r="M429" s="49" t="str">
        <f ca="1">HLOOKUP(tBase[[#This Row],[Idade]],$P$7:$S$8,2,TRUE)</f>
        <v>35 - 44</v>
      </c>
    </row>
    <row r="430" spans="2:13">
      <c r="B430" s="48">
        <v>47007221276</v>
      </c>
      <c r="C430" s="49" t="s">
        <v>261</v>
      </c>
      <c r="D430" s="49" t="s">
        <v>43</v>
      </c>
      <c r="E430" s="49" t="s">
        <v>214</v>
      </c>
      <c r="F430" s="49" t="s">
        <v>38</v>
      </c>
      <c r="G430" s="49" t="s">
        <v>32</v>
      </c>
      <c r="H430" s="11">
        <v>26224</v>
      </c>
      <c r="I430" s="11" t="s">
        <v>46</v>
      </c>
      <c r="J430" s="49" t="s">
        <v>44</v>
      </c>
      <c r="K430" s="50">
        <v>35.9</v>
      </c>
      <c r="L430" s="51">
        <f ca="1">TRUNC((TODAY()-tBase[[#This Row],[Data Nascimento]])/365)</f>
        <v>54</v>
      </c>
      <c r="M430" s="49" t="str">
        <f ca="1">HLOOKUP(tBase[[#This Row],[Idade]],$P$7:$S$8,2,TRUE)</f>
        <v>54-70</v>
      </c>
    </row>
    <row r="431" spans="2:13">
      <c r="B431" s="48">
        <v>83649207260</v>
      </c>
      <c r="C431" s="49" t="s">
        <v>261</v>
      </c>
      <c r="D431" s="49" t="s">
        <v>43</v>
      </c>
      <c r="E431" s="49" t="s">
        <v>214</v>
      </c>
      <c r="F431" s="49" t="s">
        <v>38</v>
      </c>
      <c r="G431" s="49" t="s">
        <v>32</v>
      </c>
      <c r="H431" s="11">
        <v>28540</v>
      </c>
      <c r="I431" s="11" t="s">
        <v>17</v>
      </c>
      <c r="J431" s="49" t="s">
        <v>44</v>
      </c>
      <c r="K431" s="50">
        <v>35.9</v>
      </c>
      <c r="L431" s="51">
        <f ca="1">TRUNC((TODAY()-tBase[[#This Row],[Data Nascimento]])/365)</f>
        <v>48</v>
      </c>
      <c r="M431" s="49" t="str">
        <f ca="1">HLOOKUP(tBase[[#This Row],[Idade]],$P$7:$S$8,2,TRUE)</f>
        <v>44 - 54</v>
      </c>
    </row>
    <row r="432" spans="2:13">
      <c r="B432" s="48">
        <v>36918195071</v>
      </c>
      <c r="C432" s="49" t="s">
        <v>262</v>
      </c>
      <c r="D432" s="49" t="s">
        <v>43</v>
      </c>
      <c r="E432" s="49" t="s">
        <v>214</v>
      </c>
      <c r="F432" s="49" t="s">
        <v>38</v>
      </c>
      <c r="G432" s="49" t="s">
        <v>52</v>
      </c>
      <c r="H432" s="11">
        <v>30225</v>
      </c>
      <c r="I432" s="11" t="s">
        <v>19</v>
      </c>
      <c r="J432" s="49" t="s">
        <v>44</v>
      </c>
      <c r="K432" s="50">
        <v>35.9</v>
      </c>
      <c r="L432" s="51">
        <f ca="1">TRUNC((TODAY()-tBase[[#This Row],[Data Nascimento]])/365)</f>
        <v>43</v>
      </c>
      <c r="M432" s="49" t="str">
        <f ca="1">HLOOKUP(tBase[[#This Row],[Idade]],$P$7:$S$8,2,TRUE)</f>
        <v>35 - 44</v>
      </c>
    </row>
    <row r="433" spans="2:13">
      <c r="B433" s="48">
        <v>38804835975</v>
      </c>
      <c r="C433" s="49" t="s">
        <v>262</v>
      </c>
      <c r="D433" s="49" t="s">
        <v>43</v>
      </c>
      <c r="E433" s="49" t="s">
        <v>214</v>
      </c>
      <c r="F433" s="49" t="s">
        <v>38</v>
      </c>
      <c r="G433" s="49" t="s">
        <v>52</v>
      </c>
      <c r="H433" s="11">
        <v>31802</v>
      </c>
      <c r="I433" s="11" t="s">
        <v>17</v>
      </c>
      <c r="J433" s="49" t="s">
        <v>44</v>
      </c>
      <c r="K433" s="50">
        <v>35.9</v>
      </c>
      <c r="L433" s="51">
        <f ca="1">TRUNC((TODAY()-tBase[[#This Row],[Data Nascimento]])/365)</f>
        <v>39</v>
      </c>
      <c r="M433" s="49" t="str">
        <f ca="1">HLOOKUP(tBase[[#This Row],[Idade]],$P$7:$S$8,2,TRUE)</f>
        <v>35 - 44</v>
      </c>
    </row>
    <row r="434" spans="2:13">
      <c r="B434" s="48">
        <v>35170686850</v>
      </c>
      <c r="C434" s="49" t="s">
        <v>263</v>
      </c>
      <c r="D434" s="49" t="s">
        <v>43</v>
      </c>
      <c r="E434" s="49" t="s">
        <v>214</v>
      </c>
      <c r="F434" s="49" t="s">
        <v>38</v>
      </c>
      <c r="G434" s="49" t="s">
        <v>32</v>
      </c>
      <c r="H434" s="11">
        <v>29180</v>
      </c>
      <c r="I434" s="11" t="s">
        <v>17</v>
      </c>
      <c r="J434" s="49" t="s">
        <v>18</v>
      </c>
      <c r="K434" s="50">
        <v>9.9</v>
      </c>
      <c r="L434" s="51">
        <f ca="1">TRUNC((TODAY()-tBase[[#This Row],[Data Nascimento]])/365)</f>
        <v>46</v>
      </c>
      <c r="M434" s="49" t="str">
        <f ca="1">HLOOKUP(tBase[[#This Row],[Idade]],$P$7:$S$8,2,TRUE)</f>
        <v>44 - 54</v>
      </c>
    </row>
    <row r="435" spans="2:13">
      <c r="B435" s="48">
        <v>42735692164</v>
      </c>
      <c r="C435" s="49" t="s">
        <v>263</v>
      </c>
      <c r="D435" s="49" t="s">
        <v>43</v>
      </c>
      <c r="E435" s="49" t="s">
        <v>214</v>
      </c>
      <c r="F435" s="49" t="s">
        <v>38</v>
      </c>
      <c r="G435" s="49" t="s">
        <v>32</v>
      </c>
      <c r="H435" s="11">
        <v>34699</v>
      </c>
      <c r="I435" s="11" t="s">
        <v>46</v>
      </c>
      <c r="J435" s="49" t="s">
        <v>18</v>
      </c>
      <c r="K435" s="50">
        <v>9.9</v>
      </c>
      <c r="L435" s="51">
        <f ca="1">TRUNC((TODAY()-tBase[[#This Row],[Data Nascimento]])/365)</f>
        <v>31</v>
      </c>
      <c r="M435" s="49" t="str">
        <f ca="1">HLOOKUP(tBase[[#This Row],[Idade]],$P$7:$S$8,2,TRUE)</f>
        <v>24-34</v>
      </c>
    </row>
    <row r="436" spans="2:13">
      <c r="B436" s="48">
        <v>34323519769</v>
      </c>
      <c r="C436" s="49" t="s">
        <v>264</v>
      </c>
      <c r="D436" s="49" t="s">
        <v>43</v>
      </c>
      <c r="E436" s="49" t="s">
        <v>214</v>
      </c>
      <c r="F436" s="49" t="s">
        <v>15</v>
      </c>
      <c r="G436" s="49" t="s">
        <v>16</v>
      </c>
      <c r="H436" s="11">
        <v>22110</v>
      </c>
      <c r="I436" s="11" t="s">
        <v>17</v>
      </c>
      <c r="J436" s="49" t="s">
        <v>18</v>
      </c>
      <c r="K436" s="50">
        <v>9.9</v>
      </c>
      <c r="L436" s="51">
        <f ca="1">TRUNC((TODAY()-tBase[[#This Row],[Data Nascimento]])/365)</f>
        <v>65</v>
      </c>
      <c r="M436" s="49" t="str">
        <f ca="1">HLOOKUP(tBase[[#This Row],[Idade]],$P$7:$S$8,2,TRUE)</f>
        <v>54-70</v>
      </c>
    </row>
    <row r="437" spans="2:13">
      <c r="B437" s="48">
        <v>35825297492</v>
      </c>
      <c r="C437" s="49" t="s">
        <v>264</v>
      </c>
      <c r="D437" s="49" t="s">
        <v>43</v>
      </c>
      <c r="E437" s="49" t="s">
        <v>214</v>
      </c>
      <c r="F437" s="49" t="s">
        <v>15</v>
      </c>
      <c r="G437" s="49" t="s">
        <v>16</v>
      </c>
      <c r="H437" s="11">
        <v>29029</v>
      </c>
      <c r="I437" s="11" t="s">
        <v>19</v>
      </c>
      <c r="J437" s="49" t="s">
        <v>18</v>
      </c>
      <c r="K437" s="50">
        <v>9.9</v>
      </c>
      <c r="L437" s="51">
        <f ca="1">TRUNC((TODAY()-tBase[[#This Row],[Data Nascimento]])/365)</f>
        <v>46</v>
      </c>
      <c r="M437" s="49" t="str">
        <f ca="1">HLOOKUP(tBase[[#This Row],[Idade]],$P$7:$S$8,2,TRUE)</f>
        <v>44 - 54</v>
      </c>
    </row>
    <row r="438" spans="2:13">
      <c r="B438" s="48">
        <v>39300028907</v>
      </c>
      <c r="C438" s="49" t="s">
        <v>265</v>
      </c>
      <c r="D438" s="49" t="s">
        <v>43</v>
      </c>
      <c r="E438" s="49" t="s">
        <v>214</v>
      </c>
      <c r="F438" s="49" t="s">
        <v>62</v>
      </c>
      <c r="G438" s="49" t="s">
        <v>32</v>
      </c>
      <c r="H438" s="11">
        <v>20778</v>
      </c>
      <c r="I438" s="11" t="s">
        <v>17</v>
      </c>
      <c r="J438" s="49" t="s">
        <v>18</v>
      </c>
      <c r="K438" s="50">
        <v>9.9</v>
      </c>
      <c r="L438" s="51">
        <f ca="1">TRUNC((TODAY()-tBase[[#This Row],[Data Nascimento]])/365)</f>
        <v>69</v>
      </c>
      <c r="M438" s="49" t="str">
        <f ca="1">HLOOKUP(tBase[[#This Row],[Idade]],$P$7:$S$8,2,TRUE)</f>
        <v>54-70</v>
      </c>
    </row>
    <row r="439" spans="2:13">
      <c r="B439" s="48">
        <v>75883715598</v>
      </c>
      <c r="C439" s="49" t="s">
        <v>265</v>
      </c>
      <c r="D439" s="49" t="s">
        <v>43</v>
      </c>
      <c r="E439" s="49" t="s">
        <v>214</v>
      </c>
      <c r="F439" s="49" t="s">
        <v>62</v>
      </c>
      <c r="G439" s="49" t="s">
        <v>32</v>
      </c>
      <c r="H439" s="11">
        <v>22867</v>
      </c>
      <c r="I439" s="11" t="s">
        <v>17</v>
      </c>
      <c r="J439" s="49" t="s">
        <v>18</v>
      </c>
      <c r="K439" s="50">
        <v>9.9</v>
      </c>
      <c r="L439" s="51">
        <f ca="1">TRUNC((TODAY()-tBase[[#This Row],[Data Nascimento]])/365)</f>
        <v>63</v>
      </c>
      <c r="M439" s="49" t="str">
        <f ca="1">HLOOKUP(tBase[[#This Row],[Idade]],$P$7:$S$8,2,TRUE)</f>
        <v>54-70</v>
      </c>
    </row>
    <row r="440" spans="2:13">
      <c r="B440" s="48">
        <v>36431106330</v>
      </c>
      <c r="C440" s="49" t="s">
        <v>266</v>
      </c>
      <c r="D440" s="49" t="s">
        <v>43</v>
      </c>
      <c r="E440" s="49" t="s">
        <v>214</v>
      </c>
      <c r="F440" s="49" t="s">
        <v>59</v>
      </c>
      <c r="G440" s="49" t="s">
        <v>52</v>
      </c>
      <c r="H440" s="11">
        <v>30551</v>
      </c>
      <c r="I440" s="11" t="s">
        <v>17</v>
      </c>
      <c r="J440" s="49" t="s">
        <v>33</v>
      </c>
      <c r="K440" s="50">
        <v>79.900000000000006</v>
      </c>
      <c r="L440" s="51">
        <f ca="1">TRUNC((TODAY()-tBase[[#This Row],[Data Nascimento]])/365)</f>
        <v>42</v>
      </c>
      <c r="M440" s="49" t="str">
        <f ca="1">HLOOKUP(tBase[[#This Row],[Idade]],$P$7:$S$8,2,TRUE)</f>
        <v>35 - 44</v>
      </c>
    </row>
    <row r="441" spans="2:13">
      <c r="B441" s="48">
        <v>95707970101</v>
      </c>
      <c r="C441" s="49" t="s">
        <v>266</v>
      </c>
      <c r="D441" s="49" t="s">
        <v>43</v>
      </c>
      <c r="E441" s="49" t="s">
        <v>214</v>
      </c>
      <c r="F441" s="49" t="s">
        <v>59</v>
      </c>
      <c r="G441" s="49" t="s">
        <v>16</v>
      </c>
      <c r="H441" s="11">
        <v>23655</v>
      </c>
      <c r="I441" s="11" t="s">
        <v>72</v>
      </c>
      <c r="J441" s="49" t="s">
        <v>33</v>
      </c>
      <c r="K441" s="50">
        <v>79.900000000000006</v>
      </c>
      <c r="L441" s="51">
        <f ca="1">TRUNC((TODAY()-tBase[[#This Row],[Data Nascimento]])/365)</f>
        <v>61</v>
      </c>
      <c r="M441" s="49" t="str">
        <f ca="1">HLOOKUP(tBase[[#This Row],[Idade]],$P$7:$S$8,2,TRUE)</f>
        <v>54-70</v>
      </c>
    </row>
    <row r="442" spans="2:13">
      <c r="B442" s="48">
        <v>37652222715</v>
      </c>
      <c r="C442" s="49" t="s">
        <v>267</v>
      </c>
      <c r="D442" s="49" t="s">
        <v>43</v>
      </c>
      <c r="E442" s="49" t="s">
        <v>214</v>
      </c>
      <c r="F442" s="49" t="s">
        <v>38</v>
      </c>
      <c r="G442" s="49" t="s">
        <v>32</v>
      </c>
      <c r="H442" s="11">
        <v>34949</v>
      </c>
      <c r="I442" s="11" t="s">
        <v>17</v>
      </c>
      <c r="J442" s="49" t="s">
        <v>44</v>
      </c>
      <c r="K442" s="50">
        <v>35.9</v>
      </c>
      <c r="L442" s="51">
        <f ca="1">TRUNC((TODAY()-tBase[[#This Row],[Data Nascimento]])/365)</f>
        <v>30</v>
      </c>
      <c r="M442" s="49" t="str">
        <f ca="1">HLOOKUP(tBase[[#This Row],[Idade]],$P$7:$S$8,2,TRUE)</f>
        <v>24-34</v>
      </c>
    </row>
    <row r="443" spans="2:13">
      <c r="B443" s="48">
        <v>85516322956</v>
      </c>
      <c r="C443" s="49" t="s">
        <v>267</v>
      </c>
      <c r="D443" s="49" t="s">
        <v>43</v>
      </c>
      <c r="E443" s="49" t="s">
        <v>214</v>
      </c>
      <c r="F443" s="49" t="s">
        <v>38</v>
      </c>
      <c r="G443" s="49" t="s">
        <v>32</v>
      </c>
      <c r="H443" s="11">
        <v>31518</v>
      </c>
      <c r="I443" s="11" t="s">
        <v>21</v>
      </c>
      <c r="J443" s="49" t="s">
        <v>44</v>
      </c>
      <c r="K443" s="50">
        <v>35.9</v>
      </c>
      <c r="L443" s="51">
        <f ca="1">TRUNC((TODAY()-tBase[[#This Row],[Data Nascimento]])/365)</f>
        <v>39</v>
      </c>
      <c r="M443" s="49" t="str">
        <f ca="1">HLOOKUP(tBase[[#This Row],[Idade]],$P$7:$S$8,2,TRUE)</f>
        <v>35 - 44</v>
      </c>
    </row>
    <row r="444" spans="2:13">
      <c r="B444" s="48">
        <v>29058531849</v>
      </c>
      <c r="C444" s="49" t="s">
        <v>49</v>
      </c>
      <c r="D444" s="49" t="s">
        <v>43</v>
      </c>
      <c r="E444" s="49" t="s">
        <v>214</v>
      </c>
      <c r="F444" s="49" t="s">
        <v>38</v>
      </c>
      <c r="G444" s="49" t="s">
        <v>32</v>
      </c>
      <c r="H444" s="11">
        <v>23599</v>
      </c>
      <c r="I444" s="11" t="s">
        <v>17</v>
      </c>
      <c r="J444" s="49" t="s">
        <v>44</v>
      </c>
      <c r="K444" s="50">
        <v>35.9</v>
      </c>
      <c r="L444" s="51">
        <f ca="1">TRUNC((TODAY()-tBase[[#This Row],[Data Nascimento]])/365)</f>
        <v>61</v>
      </c>
      <c r="M444" s="49" t="str">
        <f ca="1">HLOOKUP(tBase[[#This Row],[Idade]],$P$7:$S$8,2,TRUE)</f>
        <v>54-70</v>
      </c>
    </row>
    <row r="445" spans="2:13">
      <c r="B445" s="48">
        <v>52838416344</v>
      </c>
      <c r="C445" s="49" t="s">
        <v>268</v>
      </c>
      <c r="D445" s="49" t="s">
        <v>43</v>
      </c>
      <c r="E445" s="49" t="s">
        <v>214</v>
      </c>
      <c r="F445" s="49" t="s">
        <v>15</v>
      </c>
      <c r="G445" s="49" t="s">
        <v>16</v>
      </c>
      <c r="H445" s="11">
        <v>20843</v>
      </c>
      <c r="I445" s="11" t="s">
        <v>17</v>
      </c>
      <c r="J445" s="49" t="s">
        <v>18</v>
      </c>
      <c r="K445" s="50">
        <v>9.9</v>
      </c>
      <c r="L445" s="51">
        <f ca="1">TRUNC((TODAY()-tBase[[#This Row],[Data Nascimento]])/365)</f>
        <v>69</v>
      </c>
      <c r="M445" s="49" t="str">
        <f ca="1">HLOOKUP(tBase[[#This Row],[Idade]],$P$7:$S$8,2,TRUE)</f>
        <v>54-70</v>
      </c>
    </row>
    <row r="446" spans="2:13">
      <c r="B446" s="48">
        <v>67257820477</v>
      </c>
      <c r="C446" s="49" t="s">
        <v>268</v>
      </c>
      <c r="D446" s="49" t="s">
        <v>43</v>
      </c>
      <c r="E446" s="49" t="s">
        <v>214</v>
      </c>
      <c r="F446" s="49" t="s">
        <v>15</v>
      </c>
      <c r="G446" s="49" t="s">
        <v>16</v>
      </c>
      <c r="H446" s="11">
        <v>32114</v>
      </c>
      <c r="I446" s="11" t="s">
        <v>17</v>
      </c>
      <c r="J446" s="49" t="s">
        <v>18</v>
      </c>
      <c r="K446" s="50">
        <v>9.9</v>
      </c>
      <c r="L446" s="51">
        <f ca="1">TRUNC((TODAY()-tBase[[#This Row],[Data Nascimento]])/365)</f>
        <v>38</v>
      </c>
      <c r="M446" s="49" t="str">
        <f ca="1">HLOOKUP(tBase[[#This Row],[Idade]],$P$7:$S$8,2,TRUE)</f>
        <v>35 - 44</v>
      </c>
    </row>
    <row r="447" spans="2:13">
      <c r="B447" s="48">
        <v>33585062982</v>
      </c>
      <c r="C447" s="49" t="s">
        <v>269</v>
      </c>
      <c r="D447" s="49" t="s">
        <v>43</v>
      </c>
      <c r="E447" s="49" t="s">
        <v>214</v>
      </c>
      <c r="F447" s="49" t="s">
        <v>59</v>
      </c>
      <c r="G447" s="49" t="s">
        <v>52</v>
      </c>
      <c r="H447" s="11">
        <v>21978</v>
      </c>
      <c r="I447" s="11" t="s">
        <v>17</v>
      </c>
      <c r="J447" s="49" t="s">
        <v>44</v>
      </c>
      <c r="K447" s="50">
        <v>35.9</v>
      </c>
      <c r="L447" s="51">
        <f ca="1">TRUNC((TODAY()-tBase[[#This Row],[Data Nascimento]])/365)</f>
        <v>66</v>
      </c>
      <c r="M447" s="49" t="str">
        <f ca="1">HLOOKUP(tBase[[#This Row],[Idade]],$P$7:$S$8,2,TRUE)</f>
        <v>54-70</v>
      </c>
    </row>
    <row r="448" spans="2:13">
      <c r="B448" s="48">
        <v>58289445241</v>
      </c>
      <c r="C448" s="49" t="s">
        <v>269</v>
      </c>
      <c r="D448" s="49" t="s">
        <v>43</v>
      </c>
      <c r="E448" s="49" t="s">
        <v>214</v>
      </c>
      <c r="F448" s="49" t="s">
        <v>59</v>
      </c>
      <c r="G448" s="49" t="s">
        <v>52</v>
      </c>
      <c r="H448" s="11">
        <v>32349</v>
      </c>
      <c r="I448" s="11" t="s">
        <v>17</v>
      </c>
      <c r="J448" s="49" t="s">
        <v>44</v>
      </c>
      <c r="K448" s="50">
        <v>35.9</v>
      </c>
      <c r="L448" s="51">
        <f ca="1">TRUNC((TODAY()-tBase[[#This Row],[Data Nascimento]])/365)</f>
        <v>37</v>
      </c>
      <c r="M448" s="49" t="str">
        <f ca="1">HLOOKUP(tBase[[#This Row],[Idade]],$P$7:$S$8,2,TRUE)</f>
        <v>35 - 44</v>
      </c>
    </row>
    <row r="449" spans="2:13">
      <c r="B449" s="48">
        <v>32359135449</v>
      </c>
      <c r="C449" s="49" t="s">
        <v>270</v>
      </c>
      <c r="D449" s="49" t="s">
        <v>43</v>
      </c>
      <c r="E449" s="49" t="s">
        <v>214</v>
      </c>
      <c r="F449" s="49" t="s">
        <v>15</v>
      </c>
      <c r="G449" s="49" t="s">
        <v>52</v>
      </c>
      <c r="H449" s="11">
        <v>22445</v>
      </c>
      <c r="I449" s="11" t="s">
        <v>24</v>
      </c>
      <c r="J449" s="49" t="s">
        <v>18</v>
      </c>
      <c r="K449" s="50">
        <v>9.9</v>
      </c>
      <c r="L449" s="51">
        <f ca="1">TRUNC((TODAY()-tBase[[#This Row],[Data Nascimento]])/365)</f>
        <v>64</v>
      </c>
      <c r="M449" s="49" t="str">
        <f ca="1">HLOOKUP(tBase[[#This Row],[Idade]],$P$7:$S$8,2,TRUE)</f>
        <v>54-70</v>
      </c>
    </row>
    <row r="450" spans="2:13">
      <c r="B450" s="48">
        <v>85811272833</v>
      </c>
      <c r="C450" s="49" t="s">
        <v>270</v>
      </c>
      <c r="D450" s="49" t="s">
        <v>43</v>
      </c>
      <c r="E450" s="49" t="s">
        <v>214</v>
      </c>
      <c r="F450" s="49" t="s">
        <v>15</v>
      </c>
      <c r="G450" s="49" t="s">
        <v>52</v>
      </c>
      <c r="H450" s="11">
        <v>30075</v>
      </c>
      <c r="I450" s="11" t="s">
        <v>17</v>
      </c>
      <c r="J450" s="49" t="s">
        <v>18</v>
      </c>
      <c r="K450" s="50">
        <v>9.9</v>
      </c>
      <c r="L450" s="51">
        <f ca="1">TRUNC((TODAY()-tBase[[#This Row],[Data Nascimento]])/365)</f>
        <v>43</v>
      </c>
      <c r="M450" s="49" t="str">
        <f ca="1">HLOOKUP(tBase[[#This Row],[Idade]],$P$7:$S$8,2,TRUE)</f>
        <v>35 - 44</v>
      </c>
    </row>
    <row r="451" spans="2:13">
      <c r="B451" s="48">
        <v>36997621098</v>
      </c>
      <c r="C451" s="49" t="s">
        <v>271</v>
      </c>
      <c r="D451" s="49" t="s">
        <v>43</v>
      </c>
      <c r="E451" s="49" t="s">
        <v>214</v>
      </c>
      <c r="F451" s="49" t="s">
        <v>62</v>
      </c>
      <c r="G451" s="49" t="s">
        <v>32</v>
      </c>
      <c r="H451" s="11">
        <v>22462</v>
      </c>
      <c r="I451" s="11" t="s">
        <v>46</v>
      </c>
      <c r="J451" s="49" t="s">
        <v>18</v>
      </c>
      <c r="K451" s="50">
        <v>9.9</v>
      </c>
      <c r="L451" s="51">
        <f ca="1">TRUNC((TODAY()-tBase[[#This Row],[Data Nascimento]])/365)</f>
        <v>64</v>
      </c>
      <c r="M451" s="49" t="str">
        <f ca="1">HLOOKUP(tBase[[#This Row],[Idade]],$P$7:$S$8,2,TRUE)</f>
        <v>54-70</v>
      </c>
    </row>
    <row r="452" spans="2:13">
      <c r="B452" s="48">
        <v>85643949724</v>
      </c>
      <c r="C452" s="49" t="s">
        <v>271</v>
      </c>
      <c r="D452" s="49" t="s">
        <v>43</v>
      </c>
      <c r="E452" s="49" t="s">
        <v>214</v>
      </c>
      <c r="F452" s="49" t="s">
        <v>62</v>
      </c>
      <c r="G452" s="49" t="s">
        <v>32</v>
      </c>
      <c r="H452" s="11">
        <v>29776</v>
      </c>
      <c r="I452" s="11" t="s">
        <v>46</v>
      </c>
      <c r="J452" s="49" t="s">
        <v>18</v>
      </c>
      <c r="K452" s="50">
        <v>9.9</v>
      </c>
      <c r="L452" s="51">
        <f ca="1">TRUNC((TODAY()-tBase[[#This Row],[Data Nascimento]])/365)</f>
        <v>44</v>
      </c>
      <c r="M452" s="49" t="str">
        <f ca="1">HLOOKUP(tBase[[#This Row],[Idade]],$P$7:$S$8,2,TRUE)</f>
        <v>44 - 54</v>
      </c>
    </row>
    <row r="453" spans="2:13">
      <c r="B453" s="48">
        <v>38423790148</v>
      </c>
      <c r="C453" s="49" t="s">
        <v>272</v>
      </c>
      <c r="D453" s="49" t="s">
        <v>43</v>
      </c>
      <c r="E453" s="49" t="s">
        <v>214</v>
      </c>
      <c r="F453" s="49" t="s">
        <v>15</v>
      </c>
      <c r="G453" s="49" t="s">
        <v>16</v>
      </c>
      <c r="H453" s="11">
        <v>26660</v>
      </c>
      <c r="I453" s="11" t="s">
        <v>21</v>
      </c>
      <c r="J453" s="49" t="s">
        <v>18</v>
      </c>
      <c r="K453" s="50">
        <v>9.9</v>
      </c>
      <c r="L453" s="51">
        <f ca="1">TRUNC((TODAY()-tBase[[#This Row],[Data Nascimento]])/365)</f>
        <v>53</v>
      </c>
      <c r="M453" s="49" t="str">
        <f ca="1">HLOOKUP(tBase[[#This Row],[Idade]],$P$7:$S$8,2,TRUE)</f>
        <v>44 - 54</v>
      </c>
    </row>
    <row r="454" spans="2:13">
      <c r="B454" s="48">
        <v>58944256865</v>
      </c>
      <c r="C454" s="49" t="s">
        <v>272</v>
      </c>
      <c r="D454" s="49" t="s">
        <v>43</v>
      </c>
      <c r="E454" s="49" t="s">
        <v>214</v>
      </c>
      <c r="F454" s="49" t="s">
        <v>15</v>
      </c>
      <c r="G454" s="49" t="s">
        <v>16</v>
      </c>
      <c r="H454" s="11">
        <v>36396</v>
      </c>
      <c r="I454" s="11" t="s">
        <v>19</v>
      </c>
      <c r="J454" s="49" t="s">
        <v>18</v>
      </c>
      <c r="K454" s="50">
        <v>9.9</v>
      </c>
      <c r="L454" s="51">
        <f ca="1">TRUNC((TODAY()-tBase[[#This Row],[Data Nascimento]])/365)</f>
        <v>26</v>
      </c>
      <c r="M454" s="49" t="str">
        <f ca="1">HLOOKUP(tBase[[#This Row],[Idade]],$P$7:$S$8,2,TRUE)</f>
        <v>24-34</v>
      </c>
    </row>
    <row r="455" spans="2:13">
      <c r="B455" s="48">
        <v>33329077647</v>
      </c>
      <c r="C455" s="49" t="s">
        <v>273</v>
      </c>
      <c r="D455" s="49" t="s">
        <v>43</v>
      </c>
      <c r="E455" s="49" t="s">
        <v>214</v>
      </c>
      <c r="F455" s="49" t="s">
        <v>38</v>
      </c>
      <c r="G455" s="49" t="s">
        <v>52</v>
      </c>
      <c r="H455" s="11">
        <v>22149</v>
      </c>
      <c r="I455" s="11" t="s">
        <v>17</v>
      </c>
      <c r="J455" s="49" t="s">
        <v>41</v>
      </c>
      <c r="K455" s="50">
        <v>29.9</v>
      </c>
      <c r="L455" s="51">
        <f ca="1">TRUNC((TODAY()-tBase[[#This Row],[Data Nascimento]])/365)</f>
        <v>65</v>
      </c>
      <c r="M455" s="49" t="str">
        <f ca="1">HLOOKUP(tBase[[#This Row],[Idade]],$P$7:$S$8,2,TRUE)</f>
        <v>54-70</v>
      </c>
    </row>
    <row r="456" spans="2:13">
      <c r="B456" s="48">
        <v>64350773035</v>
      </c>
      <c r="C456" s="49" t="s">
        <v>273</v>
      </c>
      <c r="D456" s="49" t="s">
        <v>43</v>
      </c>
      <c r="E456" s="49" t="s">
        <v>214</v>
      </c>
      <c r="F456" s="49" t="s">
        <v>38</v>
      </c>
      <c r="G456" s="49" t="s">
        <v>52</v>
      </c>
      <c r="H456" s="11">
        <v>26325</v>
      </c>
      <c r="I456" s="11" t="s">
        <v>17</v>
      </c>
      <c r="J456" s="49" t="s">
        <v>41</v>
      </c>
      <c r="K456" s="50">
        <v>29.9</v>
      </c>
      <c r="L456" s="51">
        <f ca="1">TRUNC((TODAY()-tBase[[#This Row],[Data Nascimento]])/365)</f>
        <v>54</v>
      </c>
      <c r="M456" s="49" t="str">
        <f ca="1">HLOOKUP(tBase[[#This Row],[Idade]],$P$7:$S$8,2,TRUE)</f>
        <v>54-70</v>
      </c>
    </row>
    <row r="457" spans="2:13">
      <c r="B457" s="48">
        <v>42224635144</v>
      </c>
      <c r="C457" s="49" t="s">
        <v>274</v>
      </c>
      <c r="D457" s="49" t="s">
        <v>43</v>
      </c>
      <c r="E457" s="49" t="s">
        <v>214</v>
      </c>
      <c r="F457" s="49" t="s">
        <v>31</v>
      </c>
      <c r="G457" s="49" t="s">
        <v>52</v>
      </c>
      <c r="H457" s="11">
        <v>22394</v>
      </c>
      <c r="I457" s="11" t="s">
        <v>17</v>
      </c>
      <c r="J457" s="49" t="s">
        <v>33</v>
      </c>
      <c r="K457" s="50">
        <v>79.900000000000006</v>
      </c>
      <c r="L457" s="51">
        <f ca="1">TRUNC((TODAY()-tBase[[#This Row],[Data Nascimento]])/365)</f>
        <v>64</v>
      </c>
      <c r="M457" s="49" t="str">
        <f ca="1">HLOOKUP(tBase[[#This Row],[Idade]],$P$7:$S$8,2,TRUE)</f>
        <v>54-70</v>
      </c>
    </row>
    <row r="458" spans="2:13">
      <c r="B458" s="48">
        <v>53144306711</v>
      </c>
      <c r="C458" s="49" t="s">
        <v>274</v>
      </c>
      <c r="D458" s="49" t="s">
        <v>43</v>
      </c>
      <c r="E458" s="49" t="s">
        <v>214</v>
      </c>
      <c r="F458" s="49" t="s">
        <v>31</v>
      </c>
      <c r="G458" s="49" t="s">
        <v>52</v>
      </c>
      <c r="H458" s="11">
        <v>31271</v>
      </c>
      <c r="I458" s="11" t="s">
        <v>19</v>
      </c>
      <c r="J458" s="49" t="s">
        <v>33</v>
      </c>
      <c r="K458" s="50">
        <v>79.900000000000006</v>
      </c>
      <c r="L458" s="51">
        <f ca="1">TRUNC((TODAY()-tBase[[#This Row],[Data Nascimento]])/365)</f>
        <v>40</v>
      </c>
      <c r="M458" s="49" t="str">
        <f ca="1">HLOOKUP(tBase[[#This Row],[Idade]],$P$7:$S$8,2,TRUE)</f>
        <v>35 - 44</v>
      </c>
    </row>
    <row r="459" spans="2:13">
      <c r="B459" s="48">
        <v>55151517281</v>
      </c>
      <c r="C459" s="49" t="s">
        <v>275</v>
      </c>
      <c r="D459" s="49" t="s">
        <v>43</v>
      </c>
      <c r="E459" s="49" t="s">
        <v>214</v>
      </c>
      <c r="F459" s="49" t="s">
        <v>31</v>
      </c>
      <c r="G459" s="49" t="s">
        <v>52</v>
      </c>
      <c r="H459" s="11">
        <v>32628</v>
      </c>
      <c r="I459" s="11" t="s">
        <v>17</v>
      </c>
      <c r="J459" s="49" t="s">
        <v>33</v>
      </c>
      <c r="K459" s="50">
        <v>79.900000000000006</v>
      </c>
      <c r="L459" s="51">
        <f ca="1">TRUNC((TODAY()-tBase[[#This Row],[Data Nascimento]])/365)</f>
        <v>36</v>
      </c>
      <c r="M459" s="49" t="str">
        <f ca="1">HLOOKUP(tBase[[#This Row],[Idade]],$P$7:$S$8,2,TRUE)</f>
        <v>35 - 44</v>
      </c>
    </row>
    <row r="460" spans="2:13">
      <c r="B460" s="48">
        <v>83970499766</v>
      </c>
      <c r="C460" s="49" t="s">
        <v>275</v>
      </c>
      <c r="D460" s="49" t="s">
        <v>43</v>
      </c>
      <c r="E460" s="49" t="s">
        <v>214</v>
      </c>
      <c r="F460" s="49" t="s">
        <v>31</v>
      </c>
      <c r="G460" s="49" t="s">
        <v>52</v>
      </c>
      <c r="H460" s="11">
        <v>35538</v>
      </c>
      <c r="I460" s="11" t="s">
        <v>17</v>
      </c>
      <c r="J460" s="49" t="s">
        <v>33</v>
      </c>
      <c r="K460" s="50">
        <v>79.900000000000006</v>
      </c>
      <c r="L460" s="51">
        <f ca="1">TRUNC((TODAY()-tBase[[#This Row],[Data Nascimento]])/365)</f>
        <v>28</v>
      </c>
      <c r="M460" s="49" t="str">
        <f ca="1">HLOOKUP(tBase[[#This Row],[Idade]],$P$7:$S$8,2,TRUE)</f>
        <v>24-34</v>
      </c>
    </row>
    <row r="461" spans="2:13">
      <c r="B461" s="48">
        <v>32861405102</v>
      </c>
      <c r="C461" s="49" t="s">
        <v>276</v>
      </c>
      <c r="D461" s="49" t="s">
        <v>43</v>
      </c>
      <c r="E461" s="49" t="s">
        <v>214</v>
      </c>
      <c r="F461" s="49" t="s">
        <v>38</v>
      </c>
      <c r="G461" s="49" t="s">
        <v>52</v>
      </c>
      <c r="H461" s="11">
        <v>24308</v>
      </c>
      <c r="I461" s="11" t="s">
        <v>21</v>
      </c>
      <c r="J461" s="49" t="s">
        <v>44</v>
      </c>
      <c r="K461" s="50">
        <v>35.9</v>
      </c>
      <c r="L461" s="51">
        <f ca="1">TRUNC((TODAY()-tBase[[#This Row],[Data Nascimento]])/365)</f>
        <v>59</v>
      </c>
      <c r="M461" s="49" t="str">
        <f ca="1">HLOOKUP(tBase[[#This Row],[Idade]],$P$7:$S$8,2,TRUE)</f>
        <v>54-70</v>
      </c>
    </row>
    <row r="462" spans="2:13">
      <c r="B462" s="48">
        <v>90676250589</v>
      </c>
      <c r="C462" s="49" t="s">
        <v>276</v>
      </c>
      <c r="D462" s="49" t="s">
        <v>43</v>
      </c>
      <c r="E462" s="49" t="s">
        <v>214</v>
      </c>
      <c r="F462" s="49" t="s">
        <v>38</v>
      </c>
      <c r="G462" s="49" t="s">
        <v>52</v>
      </c>
      <c r="H462" s="11">
        <v>23395</v>
      </c>
      <c r="I462" s="11" t="s">
        <v>17</v>
      </c>
      <c r="J462" s="49" t="s">
        <v>44</v>
      </c>
      <c r="K462" s="50">
        <v>35.9</v>
      </c>
      <c r="L462" s="51">
        <f ca="1">TRUNC((TODAY()-tBase[[#This Row],[Data Nascimento]])/365)</f>
        <v>62</v>
      </c>
      <c r="M462" s="49" t="str">
        <f ca="1">HLOOKUP(tBase[[#This Row],[Idade]],$P$7:$S$8,2,TRUE)</f>
        <v>54-70</v>
      </c>
    </row>
    <row r="463" spans="2:13">
      <c r="B463" s="48">
        <v>27696929974</v>
      </c>
      <c r="C463" s="49" t="s">
        <v>277</v>
      </c>
      <c r="D463" s="49" t="s">
        <v>43</v>
      </c>
      <c r="E463" s="49" t="s">
        <v>214</v>
      </c>
      <c r="F463" s="49" t="s">
        <v>15</v>
      </c>
      <c r="G463" s="49" t="s">
        <v>16</v>
      </c>
      <c r="H463" s="11">
        <v>23205</v>
      </c>
      <c r="I463" s="11" t="s">
        <v>17</v>
      </c>
      <c r="J463" s="49" t="s">
        <v>18</v>
      </c>
      <c r="K463" s="50">
        <v>9.9</v>
      </c>
      <c r="L463" s="51">
        <f ca="1">TRUNC((TODAY()-tBase[[#This Row],[Data Nascimento]])/365)</f>
        <v>62</v>
      </c>
      <c r="M463" s="49" t="str">
        <f ca="1">HLOOKUP(tBase[[#This Row],[Idade]],$P$7:$S$8,2,TRUE)</f>
        <v>54-70</v>
      </c>
    </row>
    <row r="464" spans="2:13">
      <c r="B464" s="48">
        <v>84709823345</v>
      </c>
      <c r="C464" s="49" t="s">
        <v>277</v>
      </c>
      <c r="D464" s="49" t="s">
        <v>43</v>
      </c>
      <c r="E464" s="49" t="s">
        <v>214</v>
      </c>
      <c r="F464" s="49" t="s">
        <v>15</v>
      </c>
      <c r="G464" s="49" t="s">
        <v>16</v>
      </c>
      <c r="H464" s="11">
        <v>22787</v>
      </c>
      <c r="I464" s="11" t="s">
        <v>21</v>
      </c>
      <c r="J464" s="49" t="s">
        <v>18</v>
      </c>
      <c r="K464" s="50">
        <v>9.9</v>
      </c>
      <c r="L464" s="51">
        <f ca="1">TRUNC((TODAY()-tBase[[#This Row],[Data Nascimento]])/365)</f>
        <v>63</v>
      </c>
      <c r="M464" s="49" t="str">
        <f ca="1">HLOOKUP(tBase[[#This Row],[Idade]],$P$7:$S$8,2,TRUE)</f>
        <v>54-70</v>
      </c>
    </row>
    <row r="465" spans="2:13">
      <c r="B465" s="48">
        <v>33083932561</v>
      </c>
      <c r="C465" s="49" t="s">
        <v>278</v>
      </c>
      <c r="D465" s="49" t="s">
        <v>43</v>
      </c>
      <c r="E465" s="49" t="s">
        <v>214</v>
      </c>
      <c r="F465" s="49" t="s">
        <v>40</v>
      </c>
      <c r="G465" s="49" t="s">
        <v>52</v>
      </c>
      <c r="H465" s="11">
        <v>20130</v>
      </c>
      <c r="I465" s="11" t="s">
        <v>46</v>
      </c>
      <c r="J465" s="49" t="s">
        <v>41</v>
      </c>
      <c r="K465" s="50">
        <v>29.9</v>
      </c>
      <c r="L465" s="51">
        <f ca="1">TRUNC((TODAY()-tBase[[#This Row],[Data Nascimento]])/365)</f>
        <v>71</v>
      </c>
      <c r="M465" s="49" t="str">
        <f ca="1">HLOOKUP(tBase[[#This Row],[Idade]],$P$7:$S$8,2,TRUE)</f>
        <v>54-70</v>
      </c>
    </row>
    <row r="466" spans="2:13">
      <c r="B466" s="48">
        <v>77956710912</v>
      </c>
      <c r="C466" s="49" t="s">
        <v>278</v>
      </c>
      <c r="D466" s="49" t="s">
        <v>43</v>
      </c>
      <c r="E466" s="49" t="s">
        <v>214</v>
      </c>
      <c r="F466" s="49" t="s">
        <v>40</v>
      </c>
      <c r="G466" s="49" t="s">
        <v>52</v>
      </c>
      <c r="H466" s="11">
        <v>27183</v>
      </c>
      <c r="I466" s="11" t="s">
        <v>19</v>
      </c>
      <c r="J466" s="49" t="s">
        <v>41</v>
      </c>
      <c r="K466" s="50">
        <v>29.9</v>
      </c>
      <c r="L466" s="51">
        <f ca="1">TRUNC((TODAY()-tBase[[#This Row],[Data Nascimento]])/365)</f>
        <v>51</v>
      </c>
      <c r="M466" s="49" t="str">
        <f ca="1">HLOOKUP(tBase[[#This Row],[Idade]],$P$7:$S$8,2,TRUE)</f>
        <v>44 - 54</v>
      </c>
    </row>
    <row r="467" spans="2:13">
      <c r="B467" s="48">
        <v>45591421429</v>
      </c>
      <c r="C467" s="49" t="s">
        <v>279</v>
      </c>
      <c r="D467" s="49" t="s">
        <v>43</v>
      </c>
      <c r="E467" s="49" t="s">
        <v>214</v>
      </c>
      <c r="F467" s="49" t="s">
        <v>31</v>
      </c>
      <c r="G467" s="49" t="s">
        <v>52</v>
      </c>
      <c r="H467" s="11">
        <v>29906</v>
      </c>
      <c r="I467" s="11" t="s">
        <v>17</v>
      </c>
      <c r="J467" s="49" t="s">
        <v>33</v>
      </c>
      <c r="K467" s="50">
        <v>79.900000000000006</v>
      </c>
      <c r="L467" s="51">
        <f ca="1">TRUNC((TODAY()-tBase[[#This Row],[Data Nascimento]])/365)</f>
        <v>44</v>
      </c>
      <c r="M467" s="49" t="str">
        <f ca="1">HLOOKUP(tBase[[#This Row],[Idade]],$P$7:$S$8,2,TRUE)</f>
        <v>44 - 54</v>
      </c>
    </row>
    <row r="468" spans="2:13">
      <c r="B468" s="48">
        <v>47840676137</v>
      </c>
      <c r="C468" s="49" t="s">
        <v>279</v>
      </c>
      <c r="D468" s="49" t="s">
        <v>43</v>
      </c>
      <c r="E468" s="49" t="s">
        <v>214</v>
      </c>
      <c r="F468" s="49" t="s">
        <v>31</v>
      </c>
      <c r="G468" s="49" t="s">
        <v>52</v>
      </c>
      <c r="H468" s="11">
        <v>23864</v>
      </c>
      <c r="I468" s="11" t="s">
        <v>19</v>
      </c>
      <c r="J468" s="49" t="s">
        <v>33</v>
      </c>
      <c r="K468" s="50">
        <v>79.900000000000006</v>
      </c>
      <c r="L468" s="51">
        <f ca="1">TRUNC((TODAY()-tBase[[#This Row],[Data Nascimento]])/365)</f>
        <v>60</v>
      </c>
      <c r="M468" s="49" t="str">
        <f ca="1">HLOOKUP(tBase[[#This Row],[Idade]],$P$7:$S$8,2,TRUE)</f>
        <v>54-70</v>
      </c>
    </row>
    <row r="469" spans="2:13">
      <c r="B469" s="48">
        <v>46741073132</v>
      </c>
      <c r="C469" s="49" t="s">
        <v>280</v>
      </c>
      <c r="D469" s="49" t="s">
        <v>43</v>
      </c>
      <c r="E469" s="49" t="s">
        <v>214</v>
      </c>
      <c r="F469" s="49" t="s">
        <v>62</v>
      </c>
      <c r="G469" s="49" t="s">
        <v>16</v>
      </c>
      <c r="H469" s="11">
        <v>28749</v>
      </c>
      <c r="I469" s="11" t="s">
        <v>36</v>
      </c>
      <c r="J469" s="49" t="s">
        <v>18</v>
      </c>
      <c r="K469" s="50">
        <v>9.9</v>
      </c>
      <c r="L469" s="51">
        <f ca="1">TRUNC((TODAY()-tBase[[#This Row],[Data Nascimento]])/365)</f>
        <v>47</v>
      </c>
      <c r="M469" s="49" t="str">
        <f ca="1">HLOOKUP(tBase[[#This Row],[Idade]],$P$7:$S$8,2,TRUE)</f>
        <v>44 - 54</v>
      </c>
    </row>
    <row r="470" spans="2:13">
      <c r="B470" s="48">
        <v>74365444411</v>
      </c>
      <c r="C470" s="49" t="s">
        <v>280</v>
      </c>
      <c r="D470" s="49" t="s">
        <v>43</v>
      </c>
      <c r="E470" s="49" t="s">
        <v>214</v>
      </c>
      <c r="F470" s="49" t="s">
        <v>62</v>
      </c>
      <c r="G470" s="49" t="s">
        <v>16</v>
      </c>
      <c r="H470" s="11">
        <v>24800</v>
      </c>
      <c r="I470" s="11" t="s">
        <v>24</v>
      </c>
      <c r="J470" s="49" t="s">
        <v>18</v>
      </c>
      <c r="K470" s="50">
        <v>9.9</v>
      </c>
      <c r="L470" s="51">
        <f ca="1">TRUNC((TODAY()-tBase[[#This Row],[Data Nascimento]])/365)</f>
        <v>58</v>
      </c>
      <c r="M470" s="49" t="str">
        <f ca="1">HLOOKUP(tBase[[#This Row],[Idade]],$P$7:$S$8,2,TRUE)</f>
        <v>54-70</v>
      </c>
    </row>
    <row r="471" spans="2:13">
      <c r="B471" s="48">
        <v>47042599063</v>
      </c>
      <c r="C471" s="49" t="s">
        <v>281</v>
      </c>
      <c r="D471" s="49" t="s">
        <v>43</v>
      </c>
      <c r="E471" s="49" t="s">
        <v>214</v>
      </c>
      <c r="F471" s="49" t="s">
        <v>31</v>
      </c>
      <c r="G471" s="49" t="s">
        <v>52</v>
      </c>
      <c r="H471" s="11">
        <v>33916</v>
      </c>
      <c r="I471" s="11" t="s">
        <v>19</v>
      </c>
      <c r="J471" s="49" t="s">
        <v>33</v>
      </c>
      <c r="K471" s="50">
        <v>79.900000000000006</v>
      </c>
      <c r="L471" s="51">
        <f ca="1">TRUNC((TODAY()-tBase[[#This Row],[Data Nascimento]])/365)</f>
        <v>33</v>
      </c>
      <c r="M471" s="49" t="str">
        <f ca="1">HLOOKUP(tBase[[#This Row],[Idade]],$P$7:$S$8,2,TRUE)</f>
        <v>24-34</v>
      </c>
    </row>
    <row r="472" spans="2:13">
      <c r="B472" s="48">
        <v>73925142939</v>
      </c>
      <c r="C472" s="49" t="s">
        <v>281</v>
      </c>
      <c r="D472" s="49" t="s">
        <v>43</v>
      </c>
      <c r="E472" s="49" t="s">
        <v>214</v>
      </c>
      <c r="F472" s="49" t="s">
        <v>31</v>
      </c>
      <c r="G472" s="49" t="s">
        <v>52</v>
      </c>
      <c r="H472" s="11">
        <v>35640</v>
      </c>
      <c r="I472" s="11" t="s">
        <v>17</v>
      </c>
      <c r="J472" s="49" t="s">
        <v>33</v>
      </c>
      <c r="K472" s="50">
        <v>79.900000000000006</v>
      </c>
      <c r="L472" s="51">
        <f ca="1">TRUNC((TODAY()-tBase[[#This Row],[Data Nascimento]])/365)</f>
        <v>28</v>
      </c>
      <c r="M472" s="49" t="str">
        <f ca="1">HLOOKUP(tBase[[#This Row],[Idade]],$P$7:$S$8,2,TRUE)</f>
        <v>24-34</v>
      </c>
    </row>
    <row r="473" spans="2:13">
      <c r="B473" s="48">
        <v>29200736829</v>
      </c>
      <c r="C473" s="49" t="s">
        <v>282</v>
      </c>
      <c r="D473" s="49" t="s">
        <v>43</v>
      </c>
      <c r="E473" s="49" t="s">
        <v>214</v>
      </c>
      <c r="F473" s="49" t="s">
        <v>62</v>
      </c>
      <c r="G473" s="49" t="s">
        <v>16</v>
      </c>
      <c r="H473" s="11">
        <v>24628</v>
      </c>
      <c r="I473" s="11" t="s">
        <v>72</v>
      </c>
      <c r="J473" s="49" t="s">
        <v>41</v>
      </c>
      <c r="K473" s="50">
        <v>29.9</v>
      </c>
      <c r="L473" s="51">
        <f ca="1">TRUNC((TODAY()-tBase[[#This Row],[Data Nascimento]])/365)</f>
        <v>58</v>
      </c>
      <c r="M473" s="49" t="str">
        <f ca="1">HLOOKUP(tBase[[#This Row],[Idade]],$P$7:$S$8,2,TRUE)</f>
        <v>54-70</v>
      </c>
    </row>
    <row r="474" spans="2:13">
      <c r="B474" s="48">
        <v>64130526083</v>
      </c>
      <c r="C474" s="49" t="s">
        <v>282</v>
      </c>
      <c r="D474" s="49" t="s">
        <v>43</v>
      </c>
      <c r="E474" s="49" t="s">
        <v>214</v>
      </c>
      <c r="F474" s="49" t="s">
        <v>62</v>
      </c>
      <c r="G474" s="49" t="s">
        <v>16</v>
      </c>
      <c r="H474" s="11">
        <v>31001</v>
      </c>
      <c r="I474" s="11" t="s">
        <v>17</v>
      </c>
      <c r="J474" s="49" t="s">
        <v>41</v>
      </c>
      <c r="K474" s="50">
        <v>29.9</v>
      </c>
      <c r="L474" s="51">
        <f ca="1">TRUNC((TODAY()-tBase[[#This Row],[Data Nascimento]])/365)</f>
        <v>41</v>
      </c>
      <c r="M474" s="49" t="str">
        <f ca="1">HLOOKUP(tBase[[#This Row],[Idade]],$P$7:$S$8,2,TRUE)</f>
        <v>35 - 44</v>
      </c>
    </row>
    <row r="475" spans="2:13">
      <c r="B475" s="48">
        <v>28746452670</v>
      </c>
      <c r="C475" s="49" t="s">
        <v>51</v>
      </c>
      <c r="D475" s="49" t="s">
        <v>43</v>
      </c>
      <c r="E475" s="49" t="s">
        <v>214</v>
      </c>
      <c r="F475" s="49" t="s">
        <v>15</v>
      </c>
      <c r="G475" s="49" t="s">
        <v>52</v>
      </c>
      <c r="H475" s="11">
        <v>34194</v>
      </c>
      <c r="I475" s="11" t="s">
        <v>17</v>
      </c>
      <c r="J475" s="49" t="s">
        <v>33</v>
      </c>
      <c r="K475" s="50">
        <v>79.900000000000006</v>
      </c>
      <c r="L475" s="51">
        <f ca="1">TRUNC((TODAY()-tBase[[#This Row],[Data Nascimento]])/365)</f>
        <v>32</v>
      </c>
      <c r="M475" s="49" t="str">
        <f ca="1">HLOOKUP(tBase[[#This Row],[Idade]],$P$7:$S$8,2,TRUE)</f>
        <v>24-34</v>
      </c>
    </row>
    <row r="476" spans="2:13">
      <c r="B476" s="48">
        <v>32944488783</v>
      </c>
      <c r="C476" s="49" t="s">
        <v>283</v>
      </c>
      <c r="D476" s="49" t="s">
        <v>43</v>
      </c>
      <c r="E476" s="49" t="s">
        <v>214</v>
      </c>
      <c r="F476" s="49" t="s">
        <v>38</v>
      </c>
      <c r="G476" s="49" t="s">
        <v>16</v>
      </c>
      <c r="H476" s="11">
        <v>26442</v>
      </c>
      <c r="I476" s="11" t="s">
        <v>19</v>
      </c>
      <c r="J476" s="49" t="s">
        <v>41</v>
      </c>
      <c r="K476" s="50">
        <v>29.9</v>
      </c>
      <c r="L476" s="51">
        <f ca="1">TRUNC((TODAY()-tBase[[#This Row],[Data Nascimento]])/365)</f>
        <v>53</v>
      </c>
      <c r="M476" s="49" t="str">
        <f ca="1">HLOOKUP(tBase[[#This Row],[Idade]],$P$7:$S$8,2,TRUE)</f>
        <v>44 - 54</v>
      </c>
    </row>
    <row r="477" spans="2:13">
      <c r="B477" s="48">
        <v>85815028040</v>
      </c>
      <c r="C477" s="49" t="s">
        <v>283</v>
      </c>
      <c r="D477" s="49" t="s">
        <v>43</v>
      </c>
      <c r="E477" s="49" t="s">
        <v>214</v>
      </c>
      <c r="F477" s="49" t="s">
        <v>38</v>
      </c>
      <c r="G477" s="49" t="s">
        <v>16</v>
      </c>
      <c r="H477" s="11">
        <v>22683</v>
      </c>
      <c r="I477" s="11" t="s">
        <v>17</v>
      </c>
      <c r="J477" s="49" t="s">
        <v>41</v>
      </c>
      <c r="K477" s="50">
        <v>29.9</v>
      </c>
      <c r="L477" s="51">
        <f ca="1">TRUNC((TODAY()-tBase[[#This Row],[Data Nascimento]])/365)</f>
        <v>64</v>
      </c>
      <c r="M477" s="49" t="str">
        <f ca="1">HLOOKUP(tBase[[#This Row],[Idade]],$P$7:$S$8,2,TRUE)</f>
        <v>54-70</v>
      </c>
    </row>
    <row r="478" spans="2:13">
      <c r="B478" s="48">
        <v>23710915067</v>
      </c>
      <c r="C478" s="49" t="s">
        <v>284</v>
      </c>
      <c r="D478" s="49" t="s">
        <v>43</v>
      </c>
      <c r="E478" s="49" t="s">
        <v>214</v>
      </c>
      <c r="F478" s="49" t="s">
        <v>62</v>
      </c>
      <c r="G478" s="49" t="s">
        <v>16</v>
      </c>
      <c r="H478" s="11">
        <v>23341</v>
      </c>
      <c r="I478" s="11" t="s">
        <v>19</v>
      </c>
      <c r="J478" s="49" t="s">
        <v>41</v>
      </c>
      <c r="K478" s="50">
        <v>29.9</v>
      </c>
      <c r="L478" s="51">
        <f ca="1">TRUNC((TODAY()-tBase[[#This Row],[Data Nascimento]])/365)</f>
        <v>62</v>
      </c>
      <c r="M478" s="49" t="str">
        <f ca="1">HLOOKUP(tBase[[#This Row],[Idade]],$P$7:$S$8,2,TRUE)</f>
        <v>54-70</v>
      </c>
    </row>
    <row r="479" spans="2:13">
      <c r="B479" s="48">
        <v>44079062916</v>
      </c>
      <c r="C479" s="49" t="s">
        <v>284</v>
      </c>
      <c r="D479" s="49" t="s">
        <v>43</v>
      </c>
      <c r="E479" s="49" t="s">
        <v>214</v>
      </c>
      <c r="F479" s="49" t="s">
        <v>62</v>
      </c>
      <c r="G479" s="49" t="s">
        <v>16</v>
      </c>
      <c r="H479" s="11">
        <v>30816</v>
      </c>
      <c r="I479" s="11" t="s">
        <v>17</v>
      </c>
      <c r="J479" s="49" t="s">
        <v>41</v>
      </c>
      <c r="K479" s="50">
        <v>29.9</v>
      </c>
      <c r="L479" s="51">
        <f ca="1">TRUNC((TODAY()-tBase[[#This Row],[Data Nascimento]])/365)</f>
        <v>41</v>
      </c>
      <c r="M479" s="49" t="str">
        <f ca="1">HLOOKUP(tBase[[#This Row],[Idade]],$P$7:$S$8,2,TRUE)</f>
        <v>35 - 44</v>
      </c>
    </row>
    <row r="480" spans="2:13">
      <c r="B480" s="48">
        <v>37978687320</v>
      </c>
      <c r="C480" s="49" t="s">
        <v>285</v>
      </c>
      <c r="D480" s="49" t="s">
        <v>43</v>
      </c>
      <c r="E480" s="49" t="s">
        <v>214</v>
      </c>
      <c r="F480" s="49" t="s">
        <v>38</v>
      </c>
      <c r="G480" s="49" t="s">
        <v>52</v>
      </c>
      <c r="H480" s="11">
        <v>28641</v>
      </c>
      <c r="I480" s="11" t="s">
        <v>19</v>
      </c>
      <c r="J480" s="49" t="s">
        <v>18</v>
      </c>
      <c r="K480" s="50">
        <v>9.9</v>
      </c>
      <c r="L480" s="51">
        <f ca="1">TRUNC((TODAY()-tBase[[#This Row],[Data Nascimento]])/365)</f>
        <v>47</v>
      </c>
      <c r="M480" s="49" t="str">
        <f ca="1">HLOOKUP(tBase[[#This Row],[Idade]],$P$7:$S$8,2,TRUE)</f>
        <v>44 - 54</v>
      </c>
    </row>
    <row r="481" spans="2:13">
      <c r="B481" s="48">
        <v>49822462008</v>
      </c>
      <c r="C481" s="49" t="s">
        <v>285</v>
      </c>
      <c r="D481" s="49" t="s">
        <v>43</v>
      </c>
      <c r="E481" s="49" t="s">
        <v>214</v>
      </c>
      <c r="F481" s="49" t="s">
        <v>38</v>
      </c>
      <c r="G481" s="49" t="s">
        <v>52</v>
      </c>
      <c r="H481" s="11">
        <v>22511</v>
      </c>
      <c r="I481" s="11" t="s">
        <v>17</v>
      </c>
      <c r="J481" s="49" t="s">
        <v>18</v>
      </c>
      <c r="K481" s="50">
        <v>9.9</v>
      </c>
      <c r="L481" s="51">
        <f ca="1">TRUNC((TODAY()-tBase[[#This Row],[Data Nascimento]])/365)</f>
        <v>64</v>
      </c>
      <c r="M481" s="49" t="str">
        <f ca="1">HLOOKUP(tBase[[#This Row],[Idade]],$P$7:$S$8,2,TRUE)</f>
        <v>54-70</v>
      </c>
    </row>
    <row r="482" spans="2:13">
      <c r="B482" s="48">
        <v>31886556092</v>
      </c>
      <c r="C482" s="49" t="s">
        <v>286</v>
      </c>
      <c r="D482" s="49" t="s">
        <v>43</v>
      </c>
      <c r="E482" s="49" t="s">
        <v>214</v>
      </c>
      <c r="F482" s="49" t="s">
        <v>38</v>
      </c>
      <c r="G482" s="49" t="s">
        <v>52</v>
      </c>
      <c r="H482" s="11">
        <v>32903</v>
      </c>
      <c r="I482" s="11" t="s">
        <v>19</v>
      </c>
      <c r="J482" s="49" t="s">
        <v>18</v>
      </c>
      <c r="K482" s="50">
        <v>9.9</v>
      </c>
      <c r="L482" s="51">
        <f ca="1">TRUNC((TODAY()-tBase[[#This Row],[Data Nascimento]])/365)</f>
        <v>36</v>
      </c>
      <c r="M482" s="49" t="str">
        <f ca="1">HLOOKUP(tBase[[#This Row],[Idade]],$P$7:$S$8,2,TRUE)</f>
        <v>35 - 44</v>
      </c>
    </row>
    <row r="483" spans="2:13">
      <c r="B483" s="48">
        <v>63194018864</v>
      </c>
      <c r="C483" s="49" t="s">
        <v>286</v>
      </c>
      <c r="D483" s="49" t="s">
        <v>43</v>
      </c>
      <c r="E483" s="49" t="s">
        <v>214</v>
      </c>
      <c r="F483" s="49" t="s">
        <v>38</v>
      </c>
      <c r="G483" s="49" t="s">
        <v>52</v>
      </c>
      <c r="H483" s="11">
        <v>22147</v>
      </c>
      <c r="I483" s="11" t="s">
        <v>19</v>
      </c>
      <c r="J483" s="49" t="s">
        <v>18</v>
      </c>
      <c r="K483" s="50">
        <v>9.9</v>
      </c>
      <c r="L483" s="51">
        <f ca="1">TRUNC((TODAY()-tBase[[#This Row],[Data Nascimento]])/365)</f>
        <v>65</v>
      </c>
      <c r="M483" s="49" t="str">
        <f ca="1">HLOOKUP(tBase[[#This Row],[Idade]],$P$7:$S$8,2,TRUE)</f>
        <v>54-70</v>
      </c>
    </row>
    <row r="484" spans="2:13">
      <c r="B484" s="48">
        <v>55228283525</v>
      </c>
      <c r="C484" s="49" t="s">
        <v>287</v>
      </c>
      <c r="D484" s="49" t="s">
        <v>43</v>
      </c>
      <c r="E484" s="49" t="s">
        <v>214</v>
      </c>
      <c r="F484" s="49" t="s">
        <v>15</v>
      </c>
      <c r="G484" s="49" t="s">
        <v>16</v>
      </c>
      <c r="H484" s="11">
        <v>25954</v>
      </c>
      <c r="I484" s="11" t="s">
        <v>24</v>
      </c>
      <c r="J484" s="49" t="s">
        <v>44</v>
      </c>
      <c r="K484" s="50">
        <v>35.9</v>
      </c>
      <c r="L484" s="51">
        <f ca="1">TRUNC((TODAY()-tBase[[#This Row],[Data Nascimento]])/365)</f>
        <v>55</v>
      </c>
      <c r="M484" s="49" t="str">
        <f ca="1">HLOOKUP(tBase[[#This Row],[Idade]],$P$7:$S$8,2,TRUE)</f>
        <v>54-70</v>
      </c>
    </row>
    <row r="485" spans="2:13">
      <c r="B485" s="48">
        <v>99687496489</v>
      </c>
      <c r="C485" s="49" t="s">
        <v>287</v>
      </c>
      <c r="D485" s="49" t="s">
        <v>43</v>
      </c>
      <c r="E485" s="49" t="s">
        <v>214</v>
      </c>
      <c r="F485" s="49" t="s">
        <v>15</v>
      </c>
      <c r="G485" s="49" t="s">
        <v>16</v>
      </c>
      <c r="H485" s="11">
        <v>35163</v>
      </c>
      <c r="I485" s="11" t="s">
        <v>17</v>
      </c>
      <c r="J485" s="49" t="s">
        <v>44</v>
      </c>
      <c r="K485" s="50">
        <v>35.9</v>
      </c>
      <c r="L485" s="51">
        <f ca="1">TRUNC((TODAY()-tBase[[#This Row],[Data Nascimento]])/365)</f>
        <v>29</v>
      </c>
      <c r="M485" s="49" t="str">
        <f ca="1">HLOOKUP(tBase[[#This Row],[Idade]],$P$7:$S$8,2,TRUE)</f>
        <v>24-34</v>
      </c>
    </row>
    <row r="486" spans="2:13">
      <c r="B486" s="48">
        <v>46858118798</v>
      </c>
      <c r="C486" s="49" t="s">
        <v>288</v>
      </c>
      <c r="D486" s="49" t="s">
        <v>43</v>
      </c>
      <c r="E486" s="49" t="s">
        <v>214</v>
      </c>
      <c r="F486" s="49" t="s">
        <v>15</v>
      </c>
      <c r="G486" s="49" t="s">
        <v>16</v>
      </c>
      <c r="H486" s="11">
        <v>20741</v>
      </c>
      <c r="I486" s="11" t="s">
        <v>46</v>
      </c>
      <c r="J486" s="49" t="s">
        <v>18</v>
      </c>
      <c r="K486" s="50">
        <v>9.9</v>
      </c>
      <c r="L486" s="51">
        <f ca="1">TRUNC((TODAY()-tBase[[#This Row],[Data Nascimento]])/365)</f>
        <v>69</v>
      </c>
      <c r="M486" s="49" t="str">
        <f ca="1">HLOOKUP(tBase[[#This Row],[Idade]],$P$7:$S$8,2,TRUE)</f>
        <v>54-70</v>
      </c>
    </row>
    <row r="487" spans="2:13">
      <c r="B487" s="48">
        <v>75886580216</v>
      </c>
      <c r="C487" s="49" t="s">
        <v>288</v>
      </c>
      <c r="D487" s="49" t="s">
        <v>43</v>
      </c>
      <c r="E487" s="49" t="s">
        <v>214</v>
      </c>
      <c r="F487" s="49" t="s">
        <v>15</v>
      </c>
      <c r="G487" s="49" t="s">
        <v>16</v>
      </c>
      <c r="H487" s="11">
        <v>27289</v>
      </c>
      <c r="I487" s="11" t="s">
        <v>17</v>
      </c>
      <c r="J487" s="49" t="s">
        <v>18</v>
      </c>
      <c r="K487" s="50">
        <v>9.9</v>
      </c>
      <c r="L487" s="51">
        <f ca="1">TRUNC((TODAY()-tBase[[#This Row],[Data Nascimento]])/365)</f>
        <v>51</v>
      </c>
      <c r="M487" s="49" t="str">
        <f ca="1">HLOOKUP(tBase[[#This Row],[Idade]],$P$7:$S$8,2,TRUE)</f>
        <v>44 - 54</v>
      </c>
    </row>
    <row r="488" spans="2:13">
      <c r="B488" s="48">
        <v>37973746271</v>
      </c>
      <c r="C488" s="49" t="s">
        <v>289</v>
      </c>
      <c r="D488" s="49" t="s">
        <v>43</v>
      </c>
      <c r="E488" s="49" t="s">
        <v>214</v>
      </c>
      <c r="F488" s="49" t="s">
        <v>38</v>
      </c>
      <c r="G488" s="49" t="s">
        <v>52</v>
      </c>
      <c r="H488" s="11">
        <v>28564</v>
      </c>
      <c r="I488" s="11" t="s">
        <v>19</v>
      </c>
      <c r="J488" s="49" t="s">
        <v>18</v>
      </c>
      <c r="K488" s="50">
        <v>9.9</v>
      </c>
      <c r="L488" s="51">
        <f ca="1">TRUNC((TODAY()-tBase[[#This Row],[Data Nascimento]])/365)</f>
        <v>48</v>
      </c>
      <c r="M488" s="49" t="str">
        <f ca="1">HLOOKUP(tBase[[#This Row],[Idade]],$P$7:$S$8,2,TRUE)</f>
        <v>44 - 54</v>
      </c>
    </row>
    <row r="489" spans="2:13">
      <c r="B489" s="48">
        <v>60149753821</v>
      </c>
      <c r="C489" s="49" t="s">
        <v>289</v>
      </c>
      <c r="D489" s="49" t="s">
        <v>43</v>
      </c>
      <c r="E489" s="49" t="s">
        <v>214</v>
      </c>
      <c r="F489" s="49" t="s">
        <v>38</v>
      </c>
      <c r="G489" s="49" t="s">
        <v>52</v>
      </c>
      <c r="H489" s="11">
        <v>27416</v>
      </c>
      <c r="I489" s="11" t="s">
        <v>17</v>
      </c>
      <c r="J489" s="49" t="s">
        <v>18</v>
      </c>
      <c r="K489" s="50">
        <v>9.9</v>
      </c>
      <c r="L489" s="51">
        <f ca="1">TRUNC((TODAY()-tBase[[#This Row],[Data Nascimento]])/365)</f>
        <v>51</v>
      </c>
      <c r="M489" s="49" t="str">
        <f ca="1">HLOOKUP(tBase[[#This Row],[Idade]],$P$7:$S$8,2,TRUE)</f>
        <v>44 - 54</v>
      </c>
    </row>
    <row r="490" spans="2:13">
      <c r="B490" s="48">
        <v>32076448530</v>
      </c>
      <c r="C490" s="49" t="s">
        <v>290</v>
      </c>
      <c r="D490" s="49" t="s">
        <v>13</v>
      </c>
      <c r="E490" s="49" t="s">
        <v>291</v>
      </c>
      <c r="F490" s="49" t="s">
        <v>59</v>
      </c>
      <c r="G490" s="49" t="s">
        <v>16</v>
      </c>
      <c r="H490" s="11">
        <v>23736</v>
      </c>
      <c r="I490" s="11" t="s">
        <v>17</v>
      </c>
      <c r="J490" s="49" t="s">
        <v>44</v>
      </c>
      <c r="K490" s="50">
        <v>35.9</v>
      </c>
      <c r="L490" s="51">
        <f ca="1">TRUNC((TODAY()-tBase[[#This Row],[Data Nascimento]])/365)</f>
        <v>61</v>
      </c>
      <c r="M490" s="49" t="str">
        <f ca="1">HLOOKUP(tBase[[#This Row],[Idade]],$P$7:$S$8,2,TRUE)</f>
        <v>54-70</v>
      </c>
    </row>
    <row r="491" spans="2:13">
      <c r="B491" s="48">
        <v>76981963636</v>
      </c>
      <c r="C491" s="49" t="s">
        <v>290</v>
      </c>
      <c r="D491" s="49" t="s">
        <v>13</v>
      </c>
      <c r="E491" s="49" t="s">
        <v>291</v>
      </c>
      <c r="F491" s="49" t="s">
        <v>59</v>
      </c>
      <c r="G491" s="49" t="s">
        <v>16</v>
      </c>
      <c r="H491" s="11">
        <v>27662</v>
      </c>
      <c r="I491" s="11" t="s">
        <v>17</v>
      </c>
      <c r="J491" s="49" t="s">
        <v>44</v>
      </c>
      <c r="K491" s="50">
        <v>35.9</v>
      </c>
      <c r="L491" s="51">
        <f ca="1">TRUNC((TODAY()-tBase[[#This Row],[Data Nascimento]])/365)</f>
        <v>50</v>
      </c>
      <c r="M491" s="49" t="str">
        <f ca="1">HLOOKUP(tBase[[#This Row],[Idade]],$P$7:$S$8,2,TRUE)</f>
        <v>44 - 54</v>
      </c>
    </row>
    <row r="492" spans="2:13">
      <c r="B492" s="48">
        <v>35897348847</v>
      </c>
      <c r="C492" s="49" t="s">
        <v>292</v>
      </c>
      <c r="D492" s="49" t="s">
        <v>13</v>
      </c>
      <c r="E492" s="49" t="s">
        <v>291</v>
      </c>
      <c r="F492" s="49" t="s">
        <v>15</v>
      </c>
      <c r="G492" s="49" t="s">
        <v>32</v>
      </c>
      <c r="H492" s="11">
        <v>20146</v>
      </c>
      <c r="I492" s="11" t="s">
        <v>19</v>
      </c>
      <c r="J492" s="49" t="s">
        <v>18</v>
      </c>
      <c r="K492" s="50">
        <v>9.9</v>
      </c>
      <c r="L492" s="51">
        <f ca="1">TRUNC((TODAY()-tBase[[#This Row],[Data Nascimento]])/365)</f>
        <v>71</v>
      </c>
      <c r="M492" s="49" t="str">
        <f ca="1">HLOOKUP(tBase[[#This Row],[Idade]],$P$7:$S$8,2,TRUE)</f>
        <v>54-70</v>
      </c>
    </row>
    <row r="493" spans="2:13">
      <c r="B493" s="48">
        <v>82696018618</v>
      </c>
      <c r="C493" s="49" t="s">
        <v>292</v>
      </c>
      <c r="D493" s="49" t="s">
        <v>13</v>
      </c>
      <c r="E493" s="49" t="s">
        <v>291</v>
      </c>
      <c r="F493" s="49" t="s">
        <v>15</v>
      </c>
      <c r="G493" s="49" t="s">
        <v>32</v>
      </c>
      <c r="H493" s="11">
        <v>32839</v>
      </c>
      <c r="I493" s="11" t="s">
        <v>19</v>
      </c>
      <c r="J493" s="49" t="s">
        <v>18</v>
      </c>
      <c r="K493" s="50">
        <v>9.9</v>
      </c>
      <c r="L493" s="51">
        <f ca="1">TRUNC((TODAY()-tBase[[#This Row],[Data Nascimento]])/365)</f>
        <v>36</v>
      </c>
      <c r="M493" s="49" t="str">
        <f ca="1">HLOOKUP(tBase[[#This Row],[Idade]],$P$7:$S$8,2,TRUE)</f>
        <v>35 - 44</v>
      </c>
    </row>
    <row r="494" spans="2:13">
      <c r="B494" s="48">
        <v>24287997573</v>
      </c>
      <c r="C494" s="49" t="s">
        <v>293</v>
      </c>
      <c r="D494" s="49" t="s">
        <v>13</v>
      </c>
      <c r="E494" s="49" t="s">
        <v>291</v>
      </c>
      <c r="F494" s="49" t="s">
        <v>15</v>
      </c>
      <c r="G494" s="49" t="s">
        <v>16</v>
      </c>
      <c r="H494" s="11">
        <v>29298</v>
      </c>
      <c r="I494" s="11" t="s">
        <v>36</v>
      </c>
      <c r="J494" s="49" t="s">
        <v>18</v>
      </c>
      <c r="K494" s="50">
        <v>9.9</v>
      </c>
      <c r="L494" s="51">
        <f ca="1">TRUNC((TODAY()-tBase[[#This Row],[Data Nascimento]])/365)</f>
        <v>46</v>
      </c>
      <c r="M494" s="49" t="str">
        <f ca="1">HLOOKUP(tBase[[#This Row],[Idade]],$P$7:$S$8,2,TRUE)</f>
        <v>44 - 54</v>
      </c>
    </row>
    <row r="495" spans="2:13">
      <c r="B495" s="48">
        <v>82534701192</v>
      </c>
      <c r="C495" s="49" t="s">
        <v>293</v>
      </c>
      <c r="D495" s="49" t="s">
        <v>13</v>
      </c>
      <c r="E495" s="49" t="s">
        <v>291</v>
      </c>
      <c r="F495" s="49" t="s">
        <v>15</v>
      </c>
      <c r="G495" s="49" t="s">
        <v>16</v>
      </c>
      <c r="H495" s="11">
        <v>30524</v>
      </c>
      <c r="I495" s="11" t="s">
        <v>19</v>
      </c>
      <c r="J495" s="49" t="s">
        <v>18</v>
      </c>
      <c r="K495" s="50">
        <v>9.9</v>
      </c>
      <c r="L495" s="51">
        <f ca="1">TRUNC((TODAY()-tBase[[#This Row],[Data Nascimento]])/365)</f>
        <v>42</v>
      </c>
      <c r="M495" s="49" t="str">
        <f ca="1">HLOOKUP(tBase[[#This Row],[Idade]],$P$7:$S$8,2,TRUE)</f>
        <v>35 - 44</v>
      </c>
    </row>
    <row r="496" spans="2:13">
      <c r="B496" s="48">
        <v>29617727732</v>
      </c>
      <c r="C496" s="49" t="s">
        <v>294</v>
      </c>
      <c r="D496" s="49" t="s">
        <v>13</v>
      </c>
      <c r="E496" s="49" t="s">
        <v>291</v>
      </c>
      <c r="F496" s="49" t="s">
        <v>38</v>
      </c>
      <c r="G496" s="49" t="s">
        <v>32</v>
      </c>
      <c r="H496" s="11">
        <v>32031</v>
      </c>
      <c r="I496" s="11" t="s">
        <v>19</v>
      </c>
      <c r="J496" s="49" t="s">
        <v>41</v>
      </c>
      <c r="K496" s="50">
        <v>29.9</v>
      </c>
      <c r="L496" s="51">
        <f ca="1">TRUNC((TODAY()-tBase[[#This Row],[Data Nascimento]])/365)</f>
        <v>38</v>
      </c>
      <c r="M496" s="49" t="str">
        <f ca="1">HLOOKUP(tBase[[#This Row],[Idade]],$P$7:$S$8,2,TRUE)</f>
        <v>35 - 44</v>
      </c>
    </row>
    <row r="497" spans="2:13">
      <c r="B497" s="48">
        <v>60051549640</v>
      </c>
      <c r="C497" s="49" t="s">
        <v>294</v>
      </c>
      <c r="D497" s="49" t="s">
        <v>13</v>
      </c>
      <c r="E497" s="49" t="s">
        <v>291</v>
      </c>
      <c r="F497" s="49" t="s">
        <v>38</v>
      </c>
      <c r="G497" s="49" t="s">
        <v>32</v>
      </c>
      <c r="H497" s="11">
        <v>24306</v>
      </c>
      <c r="I497" s="11" t="s">
        <v>17</v>
      </c>
      <c r="J497" s="49" t="s">
        <v>41</v>
      </c>
      <c r="K497" s="50">
        <v>29.9</v>
      </c>
      <c r="L497" s="51">
        <f ca="1">TRUNC((TODAY()-tBase[[#This Row],[Data Nascimento]])/365)</f>
        <v>59</v>
      </c>
      <c r="M497" s="49" t="str">
        <f ca="1">HLOOKUP(tBase[[#This Row],[Idade]],$P$7:$S$8,2,TRUE)</f>
        <v>54-70</v>
      </c>
    </row>
    <row r="498" spans="2:13">
      <c r="B498" s="48">
        <v>32910016971</v>
      </c>
      <c r="C498" s="49" t="s">
        <v>295</v>
      </c>
      <c r="D498" s="49" t="s">
        <v>13</v>
      </c>
      <c r="E498" s="49" t="s">
        <v>291</v>
      </c>
      <c r="F498" s="49" t="s">
        <v>38</v>
      </c>
      <c r="G498" s="49" t="s">
        <v>16</v>
      </c>
      <c r="H498" s="11">
        <v>28587</v>
      </c>
      <c r="I498" s="11" t="s">
        <v>46</v>
      </c>
      <c r="J498" s="49" t="s">
        <v>44</v>
      </c>
      <c r="K498" s="50">
        <v>35.9</v>
      </c>
      <c r="L498" s="51">
        <f ca="1">TRUNC((TODAY()-tBase[[#This Row],[Data Nascimento]])/365)</f>
        <v>48</v>
      </c>
      <c r="M498" s="49" t="str">
        <f ca="1">HLOOKUP(tBase[[#This Row],[Idade]],$P$7:$S$8,2,TRUE)</f>
        <v>44 - 54</v>
      </c>
    </row>
    <row r="499" spans="2:13">
      <c r="B499" s="48">
        <v>84948080328</v>
      </c>
      <c r="C499" s="49" t="s">
        <v>295</v>
      </c>
      <c r="D499" s="49" t="s">
        <v>13</v>
      </c>
      <c r="E499" s="49" t="s">
        <v>291</v>
      </c>
      <c r="F499" s="49" t="s">
        <v>38</v>
      </c>
      <c r="G499" s="49" t="s">
        <v>16</v>
      </c>
      <c r="H499" s="11">
        <v>34275</v>
      </c>
      <c r="I499" s="11" t="s">
        <v>54</v>
      </c>
      <c r="J499" s="49" t="s">
        <v>44</v>
      </c>
      <c r="K499" s="50">
        <v>35.9</v>
      </c>
      <c r="L499" s="51">
        <f ca="1">TRUNC((TODAY()-tBase[[#This Row],[Data Nascimento]])/365)</f>
        <v>32</v>
      </c>
      <c r="M499" s="49" t="str">
        <f ca="1">HLOOKUP(tBase[[#This Row],[Idade]],$P$7:$S$8,2,TRUE)</f>
        <v>24-34</v>
      </c>
    </row>
    <row r="500" spans="2:13">
      <c r="B500" s="48">
        <v>41899088127</v>
      </c>
      <c r="C500" s="49" t="s">
        <v>296</v>
      </c>
      <c r="D500" s="49" t="s">
        <v>13</v>
      </c>
      <c r="E500" s="49" t="s">
        <v>291</v>
      </c>
      <c r="F500" s="49" t="s">
        <v>15</v>
      </c>
      <c r="G500" s="49" t="s">
        <v>32</v>
      </c>
      <c r="H500" s="11">
        <v>33013</v>
      </c>
      <c r="I500" s="11" t="s">
        <v>19</v>
      </c>
      <c r="J500" s="49" t="s">
        <v>33</v>
      </c>
      <c r="K500" s="50">
        <v>79.900000000000006</v>
      </c>
      <c r="L500" s="51">
        <f ca="1">TRUNC((TODAY()-tBase[[#This Row],[Data Nascimento]])/365)</f>
        <v>35</v>
      </c>
      <c r="M500" s="49" t="str">
        <f ca="1">HLOOKUP(tBase[[#This Row],[Idade]],$P$7:$S$8,2,TRUE)</f>
        <v>35 - 44</v>
      </c>
    </row>
    <row r="501" spans="2:13">
      <c r="B501" s="48">
        <v>53865937688</v>
      </c>
      <c r="C501" s="49" t="s">
        <v>296</v>
      </c>
      <c r="D501" s="49" t="s">
        <v>13</v>
      </c>
      <c r="E501" s="49" t="s">
        <v>291</v>
      </c>
      <c r="F501" s="49" t="s">
        <v>15</v>
      </c>
      <c r="G501" s="49" t="s">
        <v>32</v>
      </c>
      <c r="H501" s="11">
        <v>31691</v>
      </c>
      <c r="I501" s="11" t="s">
        <v>24</v>
      </c>
      <c r="J501" s="49" t="s">
        <v>33</v>
      </c>
      <c r="K501" s="50">
        <v>79.900000000000006</v>
      </c>
      <c r="L501" s="51">
        <f ca="1">TRUNC((TODAY()-tBase[[#This Row],[Data Nascimento]])/365)</f>
        <v>39</v>
      </c>
      <c r="M501" s="49" t="str">
        <f ca="1">HLOOKUP(tBase[[#This Row],[Idade]],$P$7:$S$8,2,TRUE)</f>
        <v>35 - 44</v>
      </c>
    </row>
    <row r="502" spans="2:13">
      <c r="B502" s="48">
        <v>23985916849</v>
      </c>
      <c r="C502" s="49" t="s">
        <v>297</v>
      </c>
      <c r="D502" s="49" t="s">
        <v>13</v>
      </c>
      <c r="E502" s="49" t="s">
        <v>291</v>
      </c>
      <c r="F502" s="49" t="s">
        <v>38</v>
      </c>
      <c r="G502" s="49" t="s">
        <v>16</v>
      </c>
      <c r="H502" s="11">
        <v>33181</v>
      </c>
      <c r="I502" s="11" t="s">
        <v>24</v>
      </c>
      <c r="J502" s="49" t="s">
        <v>44</v>
      </c>
      <c r="K502" s="50">
        <v>35.9</v>
      </c>
      <c r="L502" s="51">
        <f ca="1">TRUNC((TODAY()-tBase[[#This Row],[Data Nascimento]])/365)</f>
        <v>35</v>
      </c>
      <c r="M502" s="49" t="str">
        <f ca="1">HLOOKUP(tBase[[#This Row],[Idade]],$P$7:$S$8,2,TRUE)</f>
        <v>35 - 44</v>
      </c>
    </row>
    <row r="503" spans="2:13">
      <c r="B503" s="48">
        <v>45892038935</v>
      </c>
      <c r="C503" s="49" t="s">
        <v>297</v>
      </c>
      <c r="D503" s="49" t="s">
        <v>13</v>
      </c>
      <c r="E503" s="49" t="s">
        <v>291</v>
      </c>
      <c r="F503" s="49" t="s">
        <v>38</v>
      </c>
      <c r="G503" s="49" t="s">
        <v>16</v>
      </c>
      <c r="H503" s="11">
        <v>29975</v>
      </c>
      <c r="I503" s="11" t="s">
        <v>72</v>
      </c>
      <c r="J503" s="49" t="s">
        <v>44</v>
      </c>
      <c r="K503" s="50">
        <v>35.9</v>
      </c>
      <c r="L503" s="51">
        <f ca="1">TRUNC((TODAY()-tBase[[#This Row],[Data Nascimento]])/365)</f>
        <v>44</v>
      </c>
      <c r="M503" s="49" t="str">
        <f ca="1">HLOOKUP(tBase[[#This Row],[Idade]],$P$7:$S$8,2,TRUE)</f>
        <v>44 - 54</v>
      </c>
    </row>
    <row r="504" spans="2:13">
      <c r="B504" s="48">
        <v>28013158370</v>
      </c>
      <c r="C504" s="49" t="s">
        <v>298</v>
      </c>
      <c r="D504" s="49" t="s">
        <v>13</v>
      </c>
      <c r="E504" s="49" t="s">
        <v>291</v>
      </c>
      <c r="F504" s="49" t="s">
        <v>15</v>
      </c>
      <c r="G504" s="49" t="s">
        <v>32</v>
      </c>
      <c r="H504" s="11">
        <v>21076</v>
      </c>
      <c r="I504" s="11" t="s">
        <v>72</v>
      </c>
      <c r="J504" s="49" t="s">
        <v>33</v>
      </c>
      <c r="K504" s="50">
        <v>79.900000000000006</v>
      </c>
      <c r="L504" s="51">
        <f ca="1">TRUNC((TODAY()-tBase[[#This Row],[Data Nascimento]])/365)</f>
        <v>68</v>
      </c>
      <c r="M504" s="49" t="str">
        <f ca="1">HLOOKUP(tBase[[#This Row],[Idade]],$P$7:$S$8,2,TRUE)</f>
        <v>54-70</v>
      </c>
    </row>
    <row r="505" spans="2:13">
      <c r="B505" s="48">
        <v>68287318390</v>
      </c>
      <c r="C505" s="49" t="s">
        <v>298</v>
      </c>
      <c r="D505" s="49" t="s">
        <v>13</v>
      </c>
      <c r="E505" s="49" t="s">
        <v>291</v>
      </c>
      <c r="F505" s="49" t="s">
        <v>15</v>
      </c>
      <c r="G505" s="49" t="s">
        <v>32</v>
      </c>
      <c r="H505" s="11">
        <v>31684</v>
      </c>
      <c r="I505" s="11" t="s">
        <v>72</v>
      </c>
      <c r="J505" s="49" t="s">
        <v>33</v>
      </c>
      <c r="K505" s="50">
        <v>79.900000000000006</v>
      </c>
      <c r="L505" s="51">
        <f ca="1">TRUNC((TODAY()-tBase[[#This Row],[Data Nascimento]])/365)</f>
        <v>39</v>
      </c>
      <c r="M505" s="49" t="str">
        <f ca="1">HLOOKUP(tBase[[#This Row],[Idade]],$P$7:$S$8,2,TRUE)</f>
        <v>35 - 44</v>
      </c>
    </row>
    <row r="506" spans="2:13">
      <c r="B506" s="48">
        <v>45682920544</v>
      </c>
      <c r="C506" s="49" t="s">
        <v>299</v>
      </c>
      <c r="D506" s="49" t="s">
        <v>13</v>
      </c>
      <c r="E506" s="49" t="s">
        <v>291</v>
      </c>
      <c r="F506" s="49" t="s">
        <v>38</v>
      </c>
      <c r="G506" s="49" t="s">
        <v>52</v>
      </c>
      <c r="H506" s="11">
        <v>32679</v>
      </c>
      <c r="I506" s="11" t="s">
        <v>17</v>
      </c>
      <c r="J506" s="49" t="s">
        <v>44</v>
      </c>
      <c r="K506" s="50">
        <v>35.9</v>
      </c>
      <c r="L506" s="51">
        <f ca="1">TRUNC((TODAY()-tBase[[#This Row],[Data Nascimento]])/365)</f>
        <v>36</v>
      </c>
      <c r="M506" s="49" t="str">
        <f ca="1">HLOOKUP(tBase[[#This Row],[Idade]],$P$7:$S$8,2,TRUE)</f>
        <v>35 - 44</v>
      </c>
    </row>
    <row r="507" spans="2:13">
      <c r="B507" s="48">
        <v>52701318925</v>
      </c>
      <c r="C507" s="49" t="s">
        <v>299</v>
      </c>
      <c r="D507" s="49" t="s">
        <v>13</v>
      </c>
      <c r="E507" s="49" t="s">
        <v>291</v>
      </c>
      <c r="F507" s="49" t="s">
        <v>38</v>
      </c>
      <c r="G507" s="49" t="s">
        <v>52</v>
      </c>
      <c r="H507" s="11">
        <v>27658</v>
      </c>
      <c r="I507" s="11" t="s">
        <v>17</v>
      </c>
      <c r="J507" s="49" t="s">
        <v>44</v>
      </c>
      <c r="K507" s="50">
        <v>35.9</v>
      </c>
      <c r="L507" s="51">
        <f ca="1">TRUNC((TODAY()-tBase[[#This Row],[Data Nascimento]])/365)</f>
        <v>50</v>
      </c>
      <c r="M507" s="49" t="str">
        <f ca="1">HLOOKUP(tBase[[#This Row],[Idade]],$P$7:$S$8,2,TRUE)</f>
        <v>44 - 54</v>
      </c>
    </row>
    <row r="508" spans="2:13">
      <c r="B508" s="48">
        <v>25119128692</v>
      </c>
      <c r="C508" s="49" t="s">
        <v>300</v>
      </c>
      <c r="D508" s="49" t="s">
        <v>13</v>
      </c>
      <c r="E508" s="49" t="s">
        <v>291</v>
      </c>
      <c r="F508" s="49" t="s">
        <v>59</v>
      </c>
      <c r="G508" s="49" t="s">
        <v>16</v>
      </c>
      <c r="H508" s="11">
        <v>30384</v>
      </c>
      <c r="I508" s="11" t="s">
        <v>19</v>
      </c>
      <c r="J508" s="49" t="s">
        <v>44</v>
      </c>
      <c r="K508" s="50">
        <v>35.9</v>
      </c>
      <c r="L508" s="51">
        <f ca="1">TRUNC((TODAY()-tBase[[#This Row],[Data Nascimento]])/365)</f>
        <v>43</v>
      </c>
      <c r="M508" s="49" t="str">
        <f ca="1">HLOOKUP(tBase[[#This Row],[Idade]],$P$7:$S$8,2,TRUE)</f>
        <v>35 - 44</v>
      </c>
    </row>
    <row r="509" spans="2:13">
      <c r="B509" s="48">
        <v>42680912819</v>
      </c>
      <c r="C509" s="49" t="s">
        <v>300</v>
      </c>
      <c r="D509" s="49" t="s">
        <v>13</v>
      </c>
      <c r="E509" s="49" t="s">
        <v>291</v>
      </c>
      <c r="F509" s="49" t="s">
        <v>59</v>
      </c>
      <c r="G509" s="49" t="s">
        <v>16</v>
      </c>
      <c r="H509" s="11">
        <v>27457</v>
      </c>
      <c r="I509" s="11" t="s">
        <v>21</v>
      </c>
      <c r="J509" s="49" t="s">
        <v>44</v>
      </c>
      <c r="K509" s="50">
        <v>35.9</v>
      </c>
      <c r="L509" s="51">
        <f ca="1">TRUNC((TODAY()-tBase[[#This Row],[Data Nascimento]])/365)</f>
        <v>51</v>
      </c>
      <c r="M509" s="49" t="str">
        <f ca="1">HLOOKUP(tBase[[#This Row],[Idade]],$P$7:$S$8,2,TRUE)</f>
        <v>44 - 54</v>
      </c>
    </row>
    <row r="510" spans="2:13">
      <c r="B510" s="48">
        <v>52803639273</v>
      </c>
      <c r="C510" s="49" t="s">
        <v>301</v>
      </c>
      <c r="D510" s="49" t="s">
        <v>13</v>
      </c>
      <c r="E510" s="49" t="s">
        <v>291</v>
      </c>
      <c r="F510" s="49" t="s">
        <v>38</v>
      </c>
      <c r="G510" s="49" t="s">
        <v>52</v>
      </c>
      <c r="H510" s="11">
        <v>32576</v>
      </c>
      <c r="I510" s="11" t="s">
        <v>17</v>
      </c>
      <c r="J510" s="49" t="s">
        <v>44</v>
      </c>
      <c r="K510" s="50">
        <v>35.9</v>
      </c>
      <c r="L510" s="51">
        <f ca="1">TRUNC((TODAY()-tBase[[#This Row],[Data Nascimento]])/365)</f>
        <v>37</v>
      </c>
      <c r="M510" s="49" t="str">
        <f ca="1">HLOOKUP(tBase[[#This Row],[Idade]],$P$7:$S$8,2,TRUE)</f>
        <v>35 - 44</v>
      </c>
    </row>
    <row r="511" spans="2:13">
      <c r="B511" s="48">
        <v>69591068465</v>
      </c>
      <c r="C511" s="49" t="s">
        <v>301</v>
      </c>
      <c r="D511" s="49" t="s">
        <v>13</v>
      </c>
      <c r="E511" s="49" t="s">
        <v>291</v>
      </c>
      <c r="F511" s="49" t="s">
        <v>38</v>
      </c>
      <c r="G511" s="49" t="s">
        <v>52</v>
      </c>
      <c r="H511" s="11">
        <v>24675</v>
      </c>
      <c r="I511" s="11" t="s">
        <v>17</v>
      </c>
      <c r="J511" s="49" t="s">
        <v>44</v>
      </c>
      <c r="K511" s="50">
        <v>35.9</v>
      </c>
      <c r="L511" s="51">
        <f ca="1">TRUNC((TODAY()-tBase[[#This Row],[Data Nascimento]])/365)</f>
        <v>58</v>
      </c>
      <c r="M511" s="49" t="str">
        <f ca="1">HLOOKUP(tBase[[#This Row],[Idade]],$P$7:$S$8,2,TRUE)</f>
        <v>54-70</v>
      </c>
    </row>
    <row r="512" spans="2:13">
      <c r="B512" s="48">
        <v>34270622570</v>
      </c>
      <c r="C512" s="49" t="s">
        <v>302</v>
      </c>
      <c r="D512" s="49" t="s">
        <v>13</v>
      </c>
      <c r="E512" s="49" t="s">
        <v>291</v>
      </c>
      <c r="F512" s="49" t="s">
        <v>38</v>
      </c>
      <c r="G512" s="49" t="s">
        <v>52</v>
      </c>
      <c r="H512" s="11">
        <v>23003</v>
      </c>
      <c r="I512" s="11" t="s">
        <v>17</v>
      </c>
      <c r="J512" s="49" t="s">
        <v>18</v>
      </c>
      <c r="K512" s="50">
        <v>9.9</v>
      </c>
      <c r="L512" s="51">
        <f ca="1">TRUNC((TODAY()-tBase[[#This Row],[Data Nascimento]])/365)</f>
        <v>63</v>
      </c>
      <c r="M512" s="49" t="str">
        <f ca="1">HLOOKUP(tBase[[#This Row],[Idade]],$P$7:$S$8,2,TRUE)</f>
        <v>54-70</v>
      </c>
    </row>
    <row r="513" spans="2:13">
      <c r="B513" s="48">
        <v>42864213763</v>
      </c>
      <c r="C513" s="49" t="s">
        <v>302</v>
      </c>
      <c r="D513" s="49" t="s">
        <v>13</v>
      </c>
      <c r="E513" s="49" t="s">
        <v>291</v>
      </c>
      <c r="F513" s="49" t="s">
        <v>38</v>
      </c>
      <c r="G513" s="49" t="s">
        <v>52</v>
      </c>
      <c r="H513" s="11">
        <v>32466</v>
      </c>
      <c r="I513" s="11" t="s">
        <v>46</v>
      </c>
      <c r="J513" s="49" t="s">
        <v>18</v>
      </c>
      <c r="K513" s="50">
        <v>9.9</v>
      </c>
      <c r="L513" s="51">
        <f ca="1">TRUNC((TODAY()-tBase[[#This Row],[Data Nascimento]])/365)</f>
        <v>37</v>
      </c>
      <c r="M513" s="49" t="str">
        <f ca="1">HLOOKUP(tBase[[#This Row],[Idade]],$P$7:$S$8,2,TRUE)</f>
        <v>35 - 44</v>
      </c>
    </row>
    <row r="514" spans="2:13">
      <c r="B514" s="48">
        <v>24571944346</v>
      </c>
      <c r="C514" s="49" t="s">
        <v>303</v>
      </c>
      <c r="D514" s="49" t="s">
        <v>13</v>
      </c>
      <c r="E514" s="49" t="s">
        <v>291</v>
      </c>
      <c r="F514" s="49" t="s">
        <v>62</v>
      </c>
      <c r="G514" s="49" t="s">
        <v>52</v>
      </c>
      <c r="H514" s="11">
        <v>21653</v>
      </c>
      <c r="I514" s="11" t="s">
        <v>21</v>
      </c>
      <c r="J514" s="49" t="s">
        <v>18</v>
      </c>
      <c r="K514" s="50">
        <v>9.9</v>
      </c>
      <c r="L514" s="51">
        <f ca="1">TRUNC((TODAY()-tBase[[#This Row],[Data Nascimento]])/365)</f>
        <v>67</v>
      </c>
      <c r="M514" s="49" t="str">
        <f ca="1">HLOOKUP(tBase[[#This Row],[Idade]],$P$7:$S$8,2,TRUE)</f>
        <v>54-70</v>
      </c>
    </row>
    <row r="515" spans="2:13">
      <c r="B515" s="48">
        <v>82955592711</v>
      </c>
      <c r="C515" s="49" t="s">
        <v>303</v>
      </c>
      <c r="D515" s="49" t="s">
        <v>13</v>
      </c>
      <c r="E515" s="49" t="s">
        <v>291</v>
      </c>
      <c r="F515" s="49" t="s">
        <v>62</v>
      </c>
      <c r="G515" s="49" t="s">
        <v>52</v>
      </c>
      <c r="H515" s="11">
        <v>22832</v>
      </c>
      <c r="I515" s="11" t="s">
        <v>19</v>
      </c>
      <c r="J515" s="49" t="s">
        <v>18</v>
      </c>
      <c r="K515" s="50">
        <v>9.9</v>
      </c>
      <c r="L515" s="51">
        <f ca="1">TRUNC((TODAY()-tBase[[#This Row],[Data Nascimento]])/365)</f>
        <v>63</v>
      </c>
      <c r="M515" s="49" t="str">
        <f ca="1">HLOOKUP(tBase[[#This Row],[Idade]],$P$7:$S$8,2,TRUE)</f>
        <v>54-70</v>
      </c>
    </row>
    <row r="516" spans="2:13">
      <c r="B516" s="48">
        <v>41632449755</v>
      </c>
      <c r="C516" s="49" t="s">
        <v>304</v>
      </c>
      <c r="D516" s="49" t="s">
        <v>13</v>
      </c>
      <c r="E516" s="49" t="s">
        <v>291</v>
      </c>
      <c r="F516" s="49" t="s">
        <v>62</v>
      </c>
      <c r="G516" s="49" t="s">
        <v>16</v>
      </c>
      <c r="H516" s="11">
        <v>27531</v>
      </c>
      <c r="I516" s="11" t="s">
        <v>17</v>
      </c>
      <c r="J516" s="49" t="s">
        <v>41</v>
      </c>
      <c r="K516" s="50">
        <v>29.9</v>
      </c>
      <c r="L516" s="51">
        <f ca="1">TRUNC((TODAY()-tBase[[#This Row],[Data Nascimento]])/365)</f>
        <v>50</v>
      </c>
      <c r="M516" s="49" t="str">
        <f ca="1">HLOOKUP(tBase[[#This Row],[Idade]],$P$7:$S$8,2,TRUE)</f>
        <v>44 - 54</v>
      </c>
    </row>
    <row r="517" spans="2:13">
      <c r="B517" s="48">
        <v>77035928818</v>
      </c>
      <c r="C517" s="49" t="s">
        <v>304</v>
      </c>
      <c r="D517" s="49" t="s">
        <v>13</v>
      </c>
      <c r="E517" s="49" t="s">
        <v>291</v>
      </c>
      <c r="F517" s="49" t="s">
        <v>62</v>
      </c>
      <c r="G517" s="49" t="s">
        <v>16</v>
      </c>
      <c r="H517" s="11">
        <v>25223</v>
      </c>
      <c r="I517" s="11" t="s">
        <v>24</v>
      </c>
      <c r="J517" s="49" t="s">
        <v>41</v>
      </c>
      <c r="K517" s="50">
        <v>29.9</v>
      </c>
      <c r="L517" s="51">
        <f ca="1">TRUNC((TODAY()-tBase[[#This Row],[Data Nascimento]])/365)</f>
        <v>57</v>
      </c>
      <c r="M517" s="49" t="str">
        <f ca="1">HLOOKUP(tBase[[#This Row],[Idade]],$P$7:$S$8,2,TRUE)</f>
        <v>54-70</v>
      </c>
    </row>
    <row r="518" spans="2:13">
      <c r="B518" s="48">
        <v>22261045848</v>
      </c>
      <c r="C518" s="49" t="s">
        <v>305</v>
      </c>
      <c r="D518" s="49" t="s">
        <v>13</v>
      </c>
      <c r="E518" s="49" t="s">
        <v>291</v>
      </c>
      <c r="F518" s="49" t="s">
        <v>59</v>
      </c>
      <c r="G518" s="49" t="s">
        <v>16</v>
      </c>
      <c r="H518" s="11">
        <v>33376</v>
      </c>
      <c r="I518" s="11" t="s">
        <v>17</v>
      </c>
      <c r="J518" s="49" t="s">
        <v>44</v>
      </c>
      <c r="K518" s="50">
        <v>35.9</v>
      </c>
      <c r="L518" s="49">
        <f ca="1">TRUNC((TODAY()-tBase[[#This Row],[Data Nascimento]])/365)</f>
        <v>34</v>
      </c>
      <c r="M518" s="49" t="str">
        <f ca="1">HLOOKUP(tBase[[#This Row],[Idade]],$P$7:$S$8,2,TRUE)</f>
        <v>24-34</v>
      </c>
    </row>
    <row r="519" spans="2:13">
      <c r="B519" s="48">
        <v>58346333965</v>
      </c>
      <c r="C519" s="49" t="s">
        <v>305</v>
      </c>
      <c r="D519" s="49" t="s">
        <v>13</v>
      </c>
      <c r="E519" s="49" t="s">
        <v>291</v>
      </c>
      <c r="F519" s="49" t="s">
        <v>59</v>
      </c>
      <c r="G519" s="49" t="s">
        <v>16</v>
      </c>
      <c r="H519" s="11">
        <v>25399</v>
      </c>
      <c r="I519" s="11" t="s">
        <v>17</v>
      </c>
      <c r="J519" s="49" t="s">
        <v>44</v>
      </c>
      <c r="K519" s="50">
        <v>35.9</v>
      </c>
      <c r="L519" s="51">
        <f ca="1">TRUNC((TODAY()-tBase[[#This Row],[Data Nascimento]])/365)</f>
        <v>56</v>
      </c>
      <c r="M519" s="49" t="str">
        <f ca="1">HLOOKUP(tBase[[#This Row],[Idade]],$P$7:$S$8,2,TRUE)</f>
        <v>54-70</v>
      </c>
    </row>
    <row r="520" spans="2:13">
      <c r="B520" s="48">
        <v>31323760929</v>
      </c>
      <c r="C520" s="49" t="s">
        <v>306</v>
      </c>
      <c r="D520" s="49" t="s">
        <v>13</v>
      </c>
      <c r="E520" s="49" t="s">
        <v>291</v>
      </c>
      <c r="F520" s="49" t="s">
        <v>38</v>
      </c>
      <c r="G520" s="49" t="s">
        <v>16</v>
      </c>
      <c r="H520" s="11">
        <v>20318</v>
      </c>
      <c r="I520" s="11" t="s">
        <v>17</v>
      </c>
      <c r="J520" s="49" t="s">
        <v>18</v>
      </c>
      <c r="K520" s="50">
        <v>9.9</v>
      </c>
      <c r="L520" s="51">
        <f ca="1">TRUNC((TODAY()-tBase[[#This Row],[Data Nascimento]])/365)</f>
        <v>70</v>
      </c>
      <c r="M520" s="49" t="str">
        <f ca="1">HLOOKUP(tBase[[#This Row],[Idade]],$P$7:$S$8,2,TRUE)</f>
        <v>54-70</v>
      </c>
    </row>
    <row r="521" spans="2:13">
      <c r="B521" s="48">
        <v>61998180036</v>
      </c>
      <c r="C521" s="49" t="s">
        <v>306</v>
      </c>
      <c r="D521" s="49" t="s">
        <v>13</v>
      </c>
      <c r="E521" s="49" t="s">
        <v>291</v>
      </c>
      <c r="F521" s="49" t="s">
        <v>38</v>
      </c>
      <c r="G521" s="49" t="s">
        <v>16</v>
      </c>
      <c r="H521" s="11">
        <v>26067</v>
      </c>
      <c r="I521" s="11" t="s">
        <v>46</v>
      </c>
      <c r="J521" s="49" t="s">
        <v>18</v>
      </c>
      <c r="K521" s="50">
        <v>9.9</v>
      </c>
      <c r="L521" s="51">
        <f ca="1">TRUNC((TODAY()-tBase[[#This Row],[Data Nascimento]])/365)</f>
        <v>54</v>
      </c>
      <c r="M521" s="49" t="str">
        <f ca="1">HLOOKUP(tBase[[#This Row],[Idade]],$P$7:$S$8,2,TRUE)</f>
        <v>54-70</v>
      </c>
    </row>
    <row r="522" spans="2:13">
      <c r="B522" s="48">
        <v>45398267634</v>
      </c>
      <c r="C522" s="49" t="s">
        <v>307</v>
      </c>
      <c r="D522" s="49" t="s">
        <v>13</v>
      </c>
      <c r="E522" s="49" t="s">
        <v>291</v>
      </c>
      <c r="F522" s="49" t="s">
        <v>59</v>
      </c>
      <c r="G522" s="49" t="s">
        <v>16</v>
      </c>
      <c r="H522" s="11">
        <v>34338</v>
      </c>
      <c r="I522" s="11" t="s">
        <v>17</v>
      </c>
      <c r="J522" s="49" t="s">
        <v>18</v>
      </c>
      <c r="K522" s="50">
        <v>9.9</v>
      </c>
      <c r="L522" s="51">
        <f ca="1">TRUNC((TODAY()-tBase[[#This Row],[Data Nascimento]])/365)</f>
        <v>32</v>
      </c>
      <c r="M522" s="49" t="str">
        <f ca="1">HLOOKUP(tBase[[#This Row],[Idade]],$P$7:$S$8,2,TRUE)</f>
        <v>24-34</v>
      </c>
    </row>
    <row r="523" spans="2:13">
      <c r="B523" s="48">
        <v>53837650572</v>
      </c>
      <c r="C523" s="49" t="s">
        <v>307</v>
      </c>
      <c r="D523" s="49" t="s">
        <v>13</v>
      </c>
      <c r="E523" s="49" t="s">
        <v>291</v>
      </c>
      <c r="F523" s="49" t="s">
        <v>59</v>
      </c>
      <c r="G523" s="49" t="s">
        <v>16</v>
      </c>
      <c r="H523" s="11">
        <v>32699</v>
      </c>
      <c r="I523" s="11" t="s">
        <v>17</v>
      </c>
      <c r="J523" s="49" t="s">
        <v>18</v>
      </c>
      <c r="K523" s="50">
        <v>9.9</v>
      </c>
      <c r="L523" s="51">
        <f ca="1">TRUNC((TODAY()-tBase[[#This Row],[Data Nascimento]])/365)</f>
        <v>36</v>
      </c>
      <c r="M523" s="49" t="str">
        <f ca="1">HLOOKUP(tBase[[#This Row],[Idade]],$P$7:$S$8,2,TRUE)</f>
        <v>35 - 44</v>
      </c>
    </row>
    <row r="524" spans="2:13">
      <c r="B524" s="48">
        <v>28472708104</v>
      </c>
      <c r="C524" s="49" t="s">
        <v>308</v>
      </c>
      <c r="D524" s="49" t="s">
        <v>13</v>
      </c>
      <c r="E524" s="49" t="s">
        <v>291</v>
      </c>
      <c r="F524" s="49" t="s">
        <v>38</v>
      </c>
      <c r="G524" s="49" t="s">
        <v>16</v>
      </c>
      <c r="H524" s="11">
        <v>29241</v>
      </c>
      <c r="I524" s="11" t="s">
        <v>19</v>
      </c>
      <c r="J524" s="49" t="s">
        <v>44</v>
      </c>
      <c r="K524" s="50">
        <v>35.9</v>
      </c>
      <c r="L524" s="51">
        <f ca="1">TRUNC((TODAY()-tBase[[#This Row],[Data Nascimento]])/365)</f>
        <v>46</v>
      </c>
      <c r="M524" s="49" t="str">
        <f ca="1">HLOOKUP(tBase[[#This Row],[Idade]],$P$7:$S$8,2,TRUE)</f>
        <v>44 - 54</v>
      </c>
    </row>
    <row r="525" spans="2:13">
      <c r="B525" s="48">
        <v>85199827692</v>
      </c>
      <c r="C525" s="49" t="s">
        <v>308</v>
      </c>
      <c r="D525" s="49" t="s">
        <v>13</v>
      </c>
      <c r="E525" s="49" t="s">
        <v>291</v>
      </c>
      <c r="F525" s="49" t="s">
        <v>38</v>
      </c>
      <c r="G525" s="49" t="s">
        <v>16</v>
      </c>
      <c r="H525" s="11">
        <v>30960</v>
      </c>
      <c r="I525" s="11" t="s">
        <v>21</v>
      </c>
      <c r="J525" s="49" t="s">
        <v>44</v>
      </c>
      <c r="K525" s="50">
        <v>35.9</v>
      </c>
      <c r="L525" s="51">
        <f ca="1">TRUNC((TODAY()-tBase[[#This Row],[Data Nascimento]])/365)</f>
        <v>41</v>
      </c>
      <c r="M525" s="49" t="str">
        <f ca="1">HLOOKUP(tBase[[#This Row],[Idade]],$P$7:$S$8,2,TRUE)</f>
        <v>35 - 44</v>
      </c>
    </row>
    <row r="526" spans="2:13">
      <c r="B526" s="48">
        <v>35783183279</v>
      </c>
      <c r="C526" s="49" t="s">
        <v>309</v>
      </c>
      <c r="D526" s="49" t="s">
        <v>13</v>
      </c>
      <c r="E526" s="49" t="s">
        <v>291</v>
      </c>
      <c r="F526" s="49" t="s">
        <v>38</v>
      </c>
      <c r="G526" s="49" t="s">
        <v>16</v>
      </c>
      <c r="H526" s="11">
        <v>23239</v>
      </c>
      <c r="I526" s="11" t="s">
        <v>19</v>
      </c>
      <c r="J526" s="49" t="s">
        <v>18</v>
      </c>
      <c r="K526" s="50">
        <v>9.9</v>
      </c>
      <c r="L526" s="51">
        <f ca="1">TRUNC((TODAY()-tBase[[#This Row],[Data Nascimento]])/365)</f>
        <v>62</v>
      </c>
      <c r="M526" s="49" t="str">
        <f ca="1">HLOOKUP(tBase[[#This Row],[Idade]],$P$7:$S$8,2,TRUE)</f>
        <v>54-70</v>
      </c>
    </row>
    <row r="527" spans="2:13">
      <c r="B527" s="48">
        <v>53556010406</v>
      </c>
      <c r="C527" s="49" t="s">
        <v>309</v>
      </c>
      <c r="D527" s="49" t="s">
        <v>13</v>
      </c>
      <c r="E527" s="49" t="s">
        <v>291</v>
      </c>
      <c r="F527" s="49" t="s">
        <v>38</v>
      </c>
      <c r="G527" s="49" t="s">
        <v>16</v>
      </c>
      <c r="H527" s="11">
        <v>25705</v>
      </c>
      <c r="I527" s="11" t="s">
        <v>46</v>
      </c>
      <c r="J527" s="49" t="s">
        <v>18</v>
      </c>
      <c r="K527" s="50">
        <v>9.9</v>
      </c>
      <c r="L527" s="51">
        <f ca="1">TRUNC((TODAY()-tBase[[#This Row],[Data Nascimento]])/365)</f>
        <v>55</v>
      </c>
      <c r="M527" s="49" t="str">
        <f ca="1">HLOOKUP(tBase[[#This Row],[Idade]],$P$7:$S$8,2,TRUE)</f>
        <v>54-70</v>
      </c>
    </row>
    <row r="528" spans="2:13">
      <c r="B528" s="48">
        <v>49280389108</v>
      </c>
      <c r="C528" s="49" t="s">
        <v>310</v>
      </c>
      <c r="D528" s="49" t="s">
        <v>13</v>
      </c>
      <c r="E528" s="49" t="s">
        <v>291</v>
      </c>
      <c r="F528" s="49" t="s">
        <v>40</v>
      </c>
      <c r="G528" s="49" t="s">
        <v>32</v>
      </c>
      <c r="H528" s="11">
        <v>20919</v>
      </c>
      <c r="I528" s="11" t="s">
        <v>17</v>
      </c>
      <c r="J528" s="49" t="s">
        <v>41</v>
      </c>
      <c r="K528" s="50">
        <v>29.9</v>
      </c>
      <c r="L528" s="51">
        <f ca="1">TRUNC((TODAY()-tBase[[#This Row],[Data Nascimento]])/365)</f>
        <v>69</v>
      </c>
      <c r="M528" s="49" t="str">
        <f ca="1">HLOOKUP(tBase[[#This Row],[Idade]],$P$7:$S$8,2,TRUE)</f>
        <v>54-70</v>
      </c>
    </row>
    <row r="529" spans="2:13">
      <c r="B529" s="48">
        <v>95777582172</v>
      </c>
      <c r="C529" s="49" t="s">
        <v>310</v>
      </c>
      <c r="D529" s="49" t="s">
        <v>13</v>
      </c>
      <c r="E529" s="49" t="s">
        <v>291</v>
      </c>
      <c r="F529" s="49" t="s">
        <v>40</v>
      </c>
      <c r="G529" s="49" t="s">
        <v>32</v>
      </c>
      <c r="H529" s="11">
        <v>32769</v>
      </c>
      <c r="I529" s="11" t="s">
        <v>21</v>
      </c>
      <c r="J529" s="49" t="s">
        <v>41</v>
      </c>
      <c r="K529" s="50">
        <v>29.9</v>
      </c>
      <c r="L529" s="51">
        <f ca="1">TRUNC((TODAY()-tBase[[#This Row],[Data Nascimento]])/365)</f>
        <v>36</v>
      </c>
      <c r="M529" s="49" t="str">
        <f ca="1">HLOOKUP(tBase[[#This Row],[Idade]],$P$7:$S$8,2,TRUE)</f>
        <v>35 - 44</v>
      </c>
    </row>
    <row r="530" spans="2:13">
      <c r="B530" s="48">
        <v>25620590447</v>
      </c>
      <c r="C530" s="49" t="s">
        <v>311</v>
      </c>
      <c r="D530" s="49" t="s">
        <v>13</v>
      </c>
      <c r="E530" s="49" t="s">
        <v>291</v>
      </c>
      <c r="F530" s="49" t="s">
        <v>31</v>
      </c>
      <c r="G530" s="49" t="s">
        <v>32</v>
      </c>
      <c r="H530" s="11">
        <v>32844</v>
      </c>
      <c r="I530" s="11" t="s">
        <v>17</v>
      </c>
      <c r="J530" s="49" t="s">
        <v>33</v>
      </c>
      <c r="K530" s="50">
        <v>79.900000000000006</v>
      </c>
      <c r="L530" s="51">
        <f ca="1">TRUNC((TODAY()-tBase[[#This Row],[Data Nascimento]])/365)</f>
        <v>36</v>
      </c>
      <c r="M530" s="49" t="str">
        <f ca="1">HLOOKUP(tBase[[#This Row],[Idade]],$P$7:$S$8,2,TRUE)</f>
        <v>35 - 44</v>
      </c>
    </row>
    <row r="531" spans="2:13">
      <c r="B531" s="48">
        <v>46593413625</v>
      </c>
      <c r="C531" s="49" t="s">
        <v>311</v>
      </c>
      <c r="D531" s="49" t="s">
        <v>13</v>
      </c>
      <c r="E531" s="49" t="s">
        <v>291</v>
      </c>
      <c r="F531" s="49" t="s">
        <v>31</v>
      </c>
      <c r="G531" s="49" t="s">
        <v>32</v>
      </c>
      <c r="H531" s="11">
        <v>31478</v>
      </c>
      <c r="I531" s="11" t="s">
        <v>24</v>
      </c>
      <c r="J531" s="49" t="s">
        <v>33</v>
      </c>
      <c r="K531" s="50">
        <v>79.900000000000006</v>
      </c>
      <c r="L531" s="51">
        <f ca="1">TRUNC((TODAY()-tBase[[#This Row],[Data Nascimento]])/365)</f>
        <v>40</v>
      </c>
      <c r="M531" s="49" t="str">
        <f ca="1">HLOOKUP(tBase[[#This Row],[Idade]],$P$7:$S$8,2,TRUE)</f>
        <v>35 - 44</v>
      </c>
    </row>
    <row r="532" spans="2:13">
      <c r="B532" s="48">
        <v>25259510243</v>
      </c>
      <c r="C532" s="49" t="s">
        <v>312</v>
      </c>
      <c r="D532" s="49" t="s">
        <v>13</v>
      </c>
      <c r="E532" s="49" t="s">
        <v>291</v>
      </c>
      <c r="F532" s="49" t="s">
        <v>40</v>
      </c>
      <c r="G532" s="49" t="s">
        <v>32</v>
      </c>
      <c r="H532" s="11">
        <v>26741</v>
      </c>
      <c r="I532" s="11" t="s">
        <v>17</v>
      </c>
      <c r="J532" s="49" t="s">
        <v>18</v>
      </c>
      <c r="K532" s="50">
        <v>9.9</v>
      </c>
      <c r="L532" s="51">
        <f ca="1">TRUNC((TODAY()-tBase[[#This Row],[Data Nascimento]])/365)</f>
        <v>53</v>
      </c>
      <c r="M532" s="49" t="str">
        <f ca="1">HLOOKUP(tBase[[#This Row],[Idade]],$P$7:$S$8,2,TRUE)</f>
        <v>44 - 54</v>
      </c>
    </row>
    <row r="533" spans="2:13">
      <c r="B533" s="48">
        <v>80299981987</v>
      </c>
      <c r="C533" s="49" t="s">
        <v>312</v>
      </c>
      <c r="D533" s="49" t="s">
        <v>13</v>
      </c>
      <c r="E533" s="49" t="s">
        <v>291</v>
      </c>
      <c r="F533" s="49" t="s">
        <v>40</v>
      </c>
      <c r="G533" s="49" t="s">
        <v>32</v>
      </c>
      <c r="H533" s="11">
        <v>33791</v>
      </c>
      <c r="I533" s="11" t="s">
        <v>54</v>
      </c>
      <c r="J533" s="49" t="s">
        <v>18</v>
      </c>
      <c r="K533" s="50">
        <v>9.9</v>
      </c>
      <c r="L533" s="51">
        <f ca="1">TRUNC((TODAY()-tBase[[#This Row],[Data Nascimento]])/365)</f>
        <v>33</v>
      </c>
      <c r="M533" s="49" t="str">
        <f ca="1">HLOOKUP(tBase[[#This Row],[Idade]],$P$7:$S$8,2,TRUE)</f>
        <v>24-34</v>
      </c>
    </row>
    <row r="534" spans="2:13">
      <c r="B534" s="48">
        <v>28755892068</v>
      </c>
      <c r="C534" s="49" t="s">
        <v>313</v>
      </c>
      <c r="D534" s="49" t="s">
        <v>13</v>
      </c>
      <c r="E534" s="49" t="s">
        <v>291</v>
      </c>
      <c r="F534" s="49" t="s">
        <v>38</v>
      </c>
      <c r="G534" s="49" t="s">
        <v>16</v>
      </c>
      <c r="H534" s="11">
        <v>21223</v>
      </c>
      <c r="I534" s="11" t="s">
        <v>17</v>
      </c>
      <c r="J534" s="49" t="s">
        <v>18</v>
      </c>
      <c r="K534" s="50">
        <v>9.9</v>
      </c>
      <c r="L534" s="51">
        <f ca="1">TRUNC((TODAY()-tBase[[#This Row],[Data Nascimento]])/365)</f>
        <v>68</v>
      </c>
      <c r="M534" s="49" t="str">
        <f ca="1">HLOOKUP(tBase[[#This Row],[Idade]],$P$7:$S$8,2,TRUE)</f>
        <v>54-70</v>
      </c>
    </row>
    <row r="535" spans="2:13">
      <c r="B535" s="48">
        <v>63534216354</v>
      </c>
      <c r="C535" s="49" t="s">
        <v>313</v>
      </c>
      <c r="D535" s="49" t="s">
        <v>13</v>
      </c>
      <c r="E535" s="49" t="s">
        <v>291</v>
      </c>
      <c r="F535" s="49" t="s">
        <v>38</v>
      </c>
      <c r="G535" s="49" t="s">
        <v>16</v>
      </c>
      <c r="H535" s="11">
        <v>28841</v>
      </c>
      <c r="I535" s="11" t="s">
        <v>17</v>
      </c>
      <c r="J535" s="49" t="s">
        <v>18</v>
      </c>
      <c r="K535" s="50">
        <v>9.9</v>
      </c>
      <c r="L535" s="51">
        <f ca="1">TRUNC((TODAY()-tBase[[#This Row],[Data Nascimento]])/365)</f>
        <v>47</v>
      </c>
      <c r="M535" s="49" t="str">
        <f ca="1">HLOOKUP(tBase[[#This Row],[Idade]],$P$7:$S$8,2,TRUE)</f>
        <v>44 - 54</v>
      </c>
    </row>
    <row r="536" spans="2:13">
      <c r="B536" s="48">
        <v>39016491455</v>
      </c>
      <c r="C536" s="49" t="s">
        <v>314</v>
      </c>
      <c r="D536" s="49" t="s">
        <v>13</v>
      </c>
      <c r="E536" s="49" t="s">
        <v>291</v>
      </c>
      <c r="F536" s="49" t="s">
        <v>62</v>
      </c>
      <c r="G536" s="49" t="s">
        <v>52</v>
      </c>
      <c r="H536" s="11">
        <v>27491</v>
      </c>
      <c r="I536" s="11" t="s">
        <v>17</v>
      </c>
      <c r="J536" s="49" t="s">
        <v>18</v>
      </c>
      <c r="K536" s="50">
        <v>9.9</v>
      </c>
      <c r="L536" s="51">
        <f ca="1">TRUNC((TODAY()-tBase[[#This Row],[Data Nascimento]])/365)</f>
        <v>51</v>
      </c>
      <c r="M536" s="49" t="str">
        <f ca="1">HLOOKUP(tBase[[#This Row],[Idade]],$P$7:$S$8,2,TRUE)</f>
        <v>44 - 54</v>
      </c>
    </row>
    <row r="537" spans="2:13">
      <c r="B537" s="48">
        <v>52262038971</v>
      </c>
      <c r="C537" s="49" t="s">
        <v>314</v>
      </c>
      <c r="D537" s="49" t="s">
        <v>13</v>
      </c>
      <c r="E537" s="49" t="s">
        <v>291</v>
      </c>
      <c r="F537" s="49" t="s">
        <v>62</v>
      </c>
      <c r="G537" s="49" t="s">
        <v>52</v>
      </c>
      <c r="H537" s="11">
        <v>32408</v>
      </c>
      <c r="I537" s="11" t="s">
        <v>19</v>
      </c>
      <c r="J537" s="49" t="s">
        <v>18</v>
      </c>
      <c r="K537" s="50">
        <v>9.9</v>
      </c>
      <c r="L537" s="51">
        <f ca="1">TRUNC((TODAY()-tBase[[#This Row],[Data Nascimento]])/365)</f>
        <v>37</v>
      </c>
      <c r="M537" s="49" t="str">
        <f ca="1">HLOOKUP(tBase[[#This Row],[Idade]],$P$7:$S$8,2,TRUE)</f>
        <v>35 - 44</v>
      </c>
    </row>
    <row r="538" spans="2:13">
      <c r="B538" s="48">
        <v>23826850226</v>
      </c>
      <c r="C538" s="49" t="s">
        <v>315</v>
      </c>
      <c r="D538" s="49" t="s">
        <v>13</v>
      </c>
      <c r="E538" s="49" t="s">
        <v>291</v>
      </c>
      <c r="F538" s="49" t="s">
        <v>15</v>
      </c>
      <c r="G538" s="49" t="s">
        <v>32</v>
      </c>
      <c r="H538" s="11">
        <v>25592</v>
      </c>
      <c r="I538" s="11" t="s">
        <v>17</v>
      </c>
      <c r="J538" s="49" t="s">
        <v>18</v>
      </c>
      <c r="K538" s="50">
        <v>9.9</v>
      </c>
      <c r="L538" s="51">
        <f ca="1">TRUNC((TODAY()-tBase[[#This Row],[Data Nascimento]])/365)</f>
        <v>56</v>
      </c>
      <c r="M538" s="49" t="str">
        <f ca="1">HLOOKUP(tBase[[#This Row],[Idade]],$P$7:$S$8,2,TRUE)</f>
        <v>54-70</v>
      </c>
    </row>
    <row r="539" spans="2:13">
      <c r="B539" s="48">
        <v>41524354226</v>
      </c>
      <c r="C539" s="49" t="s">
        <v>315</v>
      </c>
      <c r="D539" s="49" t="s">
        <v>13</v>
      </c>
      <c r="E539" s="49" t="s">
        <v>291</v>
      </c>
      <c r="F539" s="49" t="s">
        <v>15</v>
      </c>
      <c r="G539" s="49" t="s">
        <v>32</v>
      </c>
      <c r="H539" s="11">
        <v>28670</v>
      </c>
      <c r="I539" s="11" t="s">
        <v>17</v>
      </c>
      <c r="J539" s="49" t="s">
        <v>18</v>
      </c>
      <c r="K539" s="50">
        <v>9.9</v>
      </c>
      <c r="L539" s="51">
        <f ca="1">TRUNC((TODAY()-tBase[[#This Row],[Data Nascimento]])/365)</f>
        <v>47</v>
      </c>
      <c r="M539" s="49" t="str">
        <f ca="1">HLOOKUP(tBase[[#This Row],[Idade]],$P$7:$S$8,2,TRUE)</f>
        <v>44 - 54</v>
      </c>
    </row>
    <row r="540" spans="2:13">
      <c r="B540" s="48">
        <v>27285805125</v>
      </c>
      <c r="C540" s="49" t="s">
        <v>316</v>
      </c>
      <c r="D540" s="49" t="s">
        <v>13</v>
      </c>
      <c r="E540" s="49" t="s">
        <v>291</v>
      </c>
      <c r="F540" s="49" t="s">
        <v>15</v>
      </c>
      <c r="G540" s="49" t="s">
        <v>32</v>
      </c>
      <c r="H540" s="11">
        <v>31848</v>
      </c>
      <c r="I540" s="11" t="s">
        <v>19</v>
      </c>
      <c r="J540" s="49" t="s">
        <v>41</v>
      </c>
      <c r="K540" s="50">
        <v>29.9</v>
      </c>
      <c r="L540" s="51">
        <f ca="1">TRUNC((TODAY()-tBase[[#This Row],[Data Nascimento]])/365)</f>
        <v>39</v>
      </c>
      <c r="M540" s="49" t="str">
        <f ca="1">HLOOKUP(tBase[[#This Row],[Idade]],$P$7:$S$8,2,TRUE)</f>
        <v>35 - 44</v>
      </c>
    </row>
    <row r="541" spans="2:13">
      <c r="B541" s="48">
        <v>99587124171</v>
      </c>
      <c r="C541" s="49" t="s">
        <v>316</v>
      </c>
      <c r="D541" s="49" t="s">
        <v>13</v>
      </c>
      <c r="E541" s="49" t="s">
        <v>291</v>
      </c>
      <c r="F541" s="49" t="s">
        <v>15</v>
      </c>
      <c r="G541" s="49" t="s">
        <v>32</v>
      </c>
      <c r="H541" s="11">
        <v>28112</v>
      </c>
      <c r="I541" s="11" t="s">
        <v>46</v>
      </c>
      <c r="J541" s="49" t="s">
        <v>41</v>
      </c>
      <c r="K541" s="50">
        <v>29.9</v>
      </c>
      <c r="L541" s="51">
        <f ca="1">TRUNC((TODAY()-tBase[[#This Row],[Data Nascimento]])/365)</f>
        <v>49</v>
      </c>
      <c r="M541" s="49" t="str">
        <f ca="1">HLOOKUP(tBase[[#This Row],[Idade]],$P$7:$S$8,2,TRUE)</f>
        <v>44 - 54</v>
      </c>
    </row>
    <row r="542" spans="2:13">
      <c r="B542" s="48">
        <v>35197147629</v>
      </c>
      <c r="C542" s="49" t="s">
        <v>317</v>
      </c>
      <c r="D542" s="49" t="s">
        <v>13</v>
      </c>
      <c r="E542" s="49" t="s">
        <v>291</v>
      </c>
      <c r="F542" s="49" t="s">
        <v>15</v>
      </c>
      <c r="G542" s="49" t="s">
        <v>32</v>
      </c>
      <c r="H542" s="11">
        <v>25948</v>
      </c>
      <c r="I542" s="11" t="s">
        <v>17</v>
      </c>
      <c r="J542" s="49" t="s">
        <v>41</v>
      </c>
      <c r="K542" s="50">
        <v>29.9</v>
      </c>
      <c r="L542" s="51">
        <f ca="1">TRUNC((TODAY()-tBase[[#This Row],[Data Nascimento]])/365)</f>
        <v>55</v>
      </c>
      <c r="M542" s="49" t="str">
        <f ca="1">HLOOKUP(tBase[[#This Row],[Idade]],$P$7:$S$8,2,TRUE)</f>
        <v>54-70</v>
      </c>
    </row>
    <row r="543" spans="2:13">
      <c r="B543" s="48">
        <v>76617239194</v>
      </c>
      <c r="C543" s="49" t="s">
        <v>317</v>
      </c>
      <c r="D543" s="49" t="s">
        <v>13</v>
      </c>
      <c r="E543" s="49" t="s">
        <v>291</v>
      </c>
      <c r="F543" s="49" t="s">
        <v>15</v>
      </c>
      <c r="G543" s="49" t="s">
        <v>32</v>
      </c>
      <c r="H543" s="11">
        <v>27199</v>
      </c>
      <c r="I543" s="11" t="s">
        <v>17</v>
      </c>
      <c r="J543" s="49" t="s">
        <v>41</v>
      </c>
      <c r="K543" s="50">
        <v>29.9</v>
      </c>
      <c r="L543" s="51">
        <f ca="1">TRUNC((TODAY()-tBase[[#This Row],[Data Nascimento]])/365)</f>
        <v>51</v>
      </c>
      <c r="M543" s="49" t="str">
        <f ca="1">HLOOKUP(tBase[[#This Row],[Idade]],$P$7:$S$8,2,TRUE)</f>
        <v>44 - 54</v>
      </c>
    </row>
    <row r="544" spans="2:13">
      <c r="B544" s="48">
        <v>27720063292</v>
      </c>
      <c r="C544" s="49" t="s">
        <v>318</v>
      </c>
      <c r="D544" s="49" t="s">
        <v>13</v>
      </c>
      <c r="E544" s="49" t="s">
        <v>291</v>
      </c>
      <c r="F544" s="49" t="s">
        <v>15</v>
      </c>
      <c r="G544" s="49" t="s">
        <v>16</v>
      </c>
      <c r="H544" s="11">
        <v>32864</v>
      </c>
      <c r="I544" s="11" t="s">
        <v>17</v>
      </c>
      <c r="J544" s="49" t="s">
        <v>41</v>
      </c>
      <c r="K544" s="50">
        <v>29.9</v>
      </c>
      <c r="L544" s="51">
        <f ca="1">TRUNC((TODAY()-tBase[[#This Row],[Data Nascimento]])/365)</f>
        <v>36</v>
      </c>
      <c r="M544" s="49" t="str">
        <f ca="1">HLOOKUP(tBase[[#This Row],[Idade]],$P$7:$S$8,2,TRUE)</f>
        <v>35 - 44</v>
      </c>
    </row>
    <row r="545" spans="2:13">
      <c r="B545" s="48">
        <v>37236926966</v>
      </c>
      <c r="C545" s="49" t="s">
        <v>318</v>
      </c>
      <c r="D545" s="49" t="s">
        <v>13</v>
      </c>
      <c r="E545" s="49" t="s">
        <v>291</v>
      </c>
      <c r="F545" s="49" t="s">
        <v>15</v>
      </c>
      <c r="G545" s="49" t="s">
        <v>16</v>
      </c>
      <c r="H545" s="11">
        <v>23978</v>
      </c>
      <c r="I545" s="11" t="s">
        <v>17</v>
      </c>
      <c r="J545" s="49" t="s">
        <v>41</v>
      </c>
      <c r="K545" s="50">
        <v>29.9</v>
      </c>
      <c r="L545" s="51">
        <f ca="1">TRUNC((TODAY()-tBase[[#This Row],[Data Nascimento]])/365)</f>
        <v>60</v>
      </c>
      <c r="M545" s="49" t="str">
        <f ca="1">HLOOKUP(tBase[[#This Row],[Idade]],$P$7:$S$8,2,TRUE)</f>
        <v>54-70</v>
      </c>
    </row>
    <row r="546" spans="2:13">
      <c r="B546" s="48">
        <v>24501506609</v>
      </c>
      <c r="C546" s="49" t="s">
        <v>30</v>
      </c>
      <c r="D546" s="49" t="s">
        <v>13</v>
      </c>
      <c r="E546" s="49" t="s">
        <v>291</v>
      </c>
      <c r="F546" s="49" t="s">
        <v>31</v>
      </c>
      <c r="G546" s="49" t="s">
        <v>32</v>
      </c>
      <c r="H546" s="11">
        <v>24903</v>
      </c>
      <c r="I546" s="11" t="s">
        <v>19</v>
      </c>
      <c r="J546" s="49" t="s">
        <v>33</v>
      </c>
      <c r="K546" s="50">
        <v>79.900000000000006</v>
      </c>
      <c r="L546" s="51">
        <f ca="1">TRUNC((TODAY()-tBase[[#This Row],[Data Nascimento]])/365)</f>
        <v>58</v>
      </c>
      <c r="M546" s="49" t="str">
        <f ca="1">HLOOKUP(tBase[[#This Row],[Idade]],$P$7:$S$8,2,TRUE)</f>
        <v>54-70</v>
      </c>
    </row>
    <row r="547" spans="2:13">
      <c r="B547" s="48">
        <v>27177199946</v>
      </c>
      <c r="C547" s="49" t="s">
        <v>319</v>
      </c>
      <c r="D547" s="49" t="s">
        <v>13</v>
      </c>
      <c r="E547" s="49" t="s">
        <v>291</v>
      </c>
      <c r="F547" s="49" t="s">
        <v>38</v>
      </c>
      <c r="G547" s="49" t="s">
        <v>16</v>
      </c>
      <c r="H547" s="11">
        <v>34831</v>
      </c>
      <c r="I547" s="11" t="s">
        <v>19</v>
      </c>
      <c r="J547" s="49" t="s">
        <v>44</v>
      </c>
      <c r="K547" s="50">
        <v>35.9</v>
      </c>
      <c r="L547" s="51">
        <f ca="1">TRUNC((TODAY()-tBase[[#This Row],[Data Nascimento]])/365)</f>
        <v>30</v>
      </c>
      <c r="M547" s="49" t="str">
        <f ca="1">HLOOKUP(tBase[[#This Row],[Idade]],$P$7:$S$8,2,TRUE)</f>
        <v>24-34</v>
      </c>
    </row>
    <row r="548" spans="2:13">
      <c r="B548" s="48">
        <v>78983767645</v>
      </c>
      <c r="C548" s="49" t="s">
        <v>319</v>
      </c>
      <c r="D548" s="49" t="s">
        <v>13</v>
      </c>
      <c r="E548" s="49" t="s">
        <v>291</v>
      </c>
      <c r="F548" s="49" t="s">
        <v>38</v>
      </c>
      <c r="G548" s="49" t="s">
        <v>16</v>
      </c>
      <c r="H548" s="11">
        <v>28433</v>
      </c>
      <c r="I548" s="11" t="s">
        <v>17</v>
      </c>
      <c r="J548" s="49" t="s">
        <v>44</v>
      </c>
      <c r="K548" s="50">
        <v>35.9</v>
      </c>
      <c r="L548" s="51">
        <f ca="1">TRUNC((TODAY()-tBase[[#This Row],[Data Nascimento]])/365)</f>
        <v>48</v>
      </c>
      <c r="M548" s="49" t="str">
        <f ca="1">HLOOKUP(tBase[[#This Row],[Idade]],$P$7:$S$8,2,TRUE)</f>
        <v>44 - 54</v>
      </c>
    </row>
    <row r="549" spans="2:13">
      <c r="B549" s="48">
        <v>22915442664</v>
      </c>
      <c r="C549" s="49" t="s">
        <v>320</v>
      </c>
      <c r="D549" s="49" t="s">
        <v>13</v>
      </c>
      <c r="E549" s="49" t="s">
        <v>291</v>
      </c>
      <c r="F549" s="49" t="s">
        <v>15</v>
      </c>
      <c r="G549" s="49" t="s">
        <v>16</v>
      </c>
      <c r="H549" s="11">
        <v>26190</v>
      </c>
      <c r="I549" s="11" t="s">
        <v>17</v>
      </c>
      <c r="J549" s="49" t="s">
        <v>18</v>
      </c>
      <c r="K549" s="50">
        <v>9.9</v>
      </c>
      <c r="L549" s="51">
        <f ca="1">TRUNC((TODAY()-tBase[[#This Row],[Data Nascimento]])/365)</f>
        <v>54</v>
      </c>
      <c r="M549" s="49" t="str">
        <f ca="1">HLOOKUP(tBase[[#This Row],[Idade]],$P$7:$S$8,2,TRUE)</f>
        <v>54-70</v>
      </c>
    </row>
    <row r="550" spans="2:13">
      <c r="B550" s="48">
        <v>89152601477</v>
      </c>
      <c r="C550" s="49" t="s">
        <v>320</v>
      </c>
      <c r="D550" s="49" t="s">
        <v>13</v>
      </c>
      <c r="E550" s="49" t="s">
        <v>291</v>
      </c>
      <c r="F550" s="49" t="s">
        <v>15</v>
      </c>
      <c r="G550" s="49" t="s">
        <v>16</v>
      </c>
      <c r="H550" s="11">
        <v>32480</v>
      </c>
      <c r="I550" s="11" t="s">
        <v>24</v>
      </c>
      <c r="J550" s="49" t="s">
        <v>18</v>
      </c>
      <c r="K550" s="50">
        <v>9.9</v>
      </c>
      <c r="L550" s="51">
        <f ca="1">TRUNC((TODAY()-tBase[[#This Row],[Data Nascimento]])/365)</f>
        <v>37</v>
      </c>
      <c r="M550" s="49" t="str">
        <f ca="1">HLOOKUP(tBase[[#This Row],[Idade]],$P$7:$S$8,2,TRUE)</f>
        <v>35 - 44</v>
      </c>
    </row>
    <row r="551" spans="2:13">
      <c r="B551" s="48">
        <v>34597516064</v>
      </c>
      <c r="C551" s="49" t="s">
        <v>321</v>
      </c>
      <c r="D551" s="49" t="s">
        <v>13</v>
      </c>
      <c r="E551" s="49" t="s">
        <v>291</v>
      </c>
      <c r="F551" s="49" t="s">
        <v>38</v>
      </c>
      <c r="G551" s="49" t="s">
        <v>52</v>
      </c>
      <c r="H551" s="11">
        <v>34698</v>
      </c>
      <c r="I551" s="11" t="s">
        <v>36</v>
      </c>
      <c r="J551" s="49" t="s">
        <v>44</v>
      </c>
      <c r="K551" s="50">
        <v>35.9</v>
      </c>
      <c r="L551" s="51">
        <f ca="1">TRUNC((TODAY()-tBase[[#This Row],[Data Nascimento]])/365)</f>
        <v>31</v>
      </c>
      <c r="M551" s="49" t="str">
        <f ca="1">HLOOKUP(tBase[[#This Row],[Idade]],$P$7:$S$8,2,TRUE)</f>
        <v>24-34</v>
      </c>
    </row>
    <row r="552" spans="2:13">
      <c r="B552" s="48">
        <v>82193403599</v>
      </c>
      <c r="C552" s="49" t="s">
        <v>321</v>
      </c>
      <c r="D552" s="49" t="s">
        <v>13</v>
      </c>
      <c r="E552" s="49" t="s">
        <v>291</v>
      </c>
      <c r="F552" s="49" t="s">
        <v>38</v>
      </c>
      <c r="G552" s="49" t="s">
        <v>52</v>
      </c>
      <c r="H552" s="11">
        <v>23366</v>
      </c>
      <c r="I552" s="11" t="s">
        <v>17</v>
      </c>
      <c r="J552" s="49" t="s">
        <v>44</v>
      </c>
      <c r="K552" s="50">
        <v>35.9</v>
      </c>
      <c r="L552" s="51">
        <f ca="1">TRUNC((TODAY()-tBase[[#This Row],[Data Nascimento]])/365)</f>
        <v>62</v>
      </c>
      <c r="M552" s="49" t="str">
        <f ca="1">HLOOKUP(tBase[[#This Row],[Idade]],$P$7:$S$8,2,TRUE)</f>
        <v>54-70</v>
      </c>
    </row>
    <row r="553" spans="2:13">
      <c r="B553" s="48">
        <v>33490248117</v>
      </c>
      <c r="C553" s="49" t="s">
        <v>322</v>
      </c>
      <c r="D553" s="49" t="s">
        <v>13</v>
      </c>
      <c r="E553" s="49" t="s">
        <v>291</v>
      </c>
      <c r="F553" s="49" t="s">
        <v>38</v>
      </c>
      <c r="G553" s="49" t="s">
        <v>16</v>
      </c>
      <c r="H553" s="11">
        <v>32883</v>
      </c>
      <c r="I553" s="11" t="s">
        <v>17</v>
      </c>
      <c r="J553" s="49" t="s">
        <v>18</v>
      </c>
      <c r="K553" s="50">
        <v>9.9</v>
      </c>
      <c r="L553" s="51">
        <f ca="1">TRUNC((TODAY()-tBase[[#This Row],[Data Nascimento]])/365)</f>
        <v>36</v>
      </c>
      <c r="M553" s="49" t="str">
        <f ca="1">HLOOKUP(tBase[[#This Row],[Idade]],$P$7:$S$8,2,TRUE)</f>
        <v>35 - 44</v>
      </c>
    </row>
    <row r="554" spans="2:13">
      <c r="B554" s="48">
        <v>78384232915</v>
      </c>
      <c r="C554" s="49" t="s">
        <v>322</v>
      </c>
      <c r="D554" s="49" t="s">
        <v>13</v>
      </c>
      <c r="E554" s="49" t="s">
        <v>291</v>
      </c>
      <c r="F554" s="49" t="s">
        <v>38</v>
      </c>
      <c r="G554" s="49" t="s">
        <v>16</v>
      </c>
      <c r="H554" s="11">
        <v>29800</v>
      </c>
      <c r="I554" s="11" t="s">
        <v>19</v>
      </c>
      <c r="J554" s="49" t="s">
        <v>18</v>
      </c>
      <c r="K554" s="50">
        <v>9.9</v>
      </c>
      <c r="L554" s="51">
        <f ca="1">TRUNC((TODAY()-tBase[[#This Row],[Data Nascimento]])/365)</f>
        <v>44</v>
      </c>
      <c r="M554" s="49" t="str">
        <f ca="1">HLOOKUP(tBase[[#This Row],[Idade]],$P$7:$S$8,2,TRUE)</f>
        <v>44 - 54</v>
      </c>
    </row>
    <row r="555" spans="2:13">
      <c r="B555" s="48">
        <v>26768816675</v>
      </c>
      <c r="C555" s="49" t="s">
        <v>323</v>
      </c>
      <c r="D555" s="49" t="s">
        <v>13</v>
      </c>
      <c r="E555" s="49" t="s">
        <v>291</v>
      </c>
      <c r="F555" s="49" t="s">
        <v>15</v>
      </c>
      <c r="G555" s="49" t="s">
        <v>32</v>
      </c>
      <c r="H555" s="11">
        <v>32712</v>
      </c>
      <c r="I555" s="11" t="s">
        <v>19</v>
      </c>
      <c r="J555" s="49" t="s">
        <v>18</v>
      </c>
      <c r="K555" s="50">
        <v>9.9</v>
      </c>
      <c r="L555" s="51">
        <f ca="1">TRUNC((TODAY()-tBase[[#This Row],[Data Nascimento]])/365)</f>
        <v>36</v>
      </c>
      <c r="M555" s="49" t="str">
        <f ca="1">HLOOKUP(tBase[[#This Row],[Idade]],$P$7:$S$8,2,TRUE)</f>
        <v>35 - 44</v>
      </c>
    </row>
    <row r="556" spans="2:13">
      <c r="B556" s="48">
        <v>51230053057</v>
      </c>
      <c r="C556" s="49" t="s">
        <v>323</v>
      </c>
      <c r="D556" s="49" t="s">
        <v>13</v>
      </c>
      <c r="E556" s="49" t="s">
        <v>291</v>
      </c>
      <c r="F556" s="49" t="s">
        <v>15</v>
      </c>
      <c r="G556" s="49" t="s">
        <v>32</v>
      </c>
      <c r="H556" s="11">
        <v>31072</v>
      </c>
      <c r="I556" s="11" t="s">
        <v>17</v>
      </c>
      <c r="J556" s="49" t="s">
        <v>18</v>
      </c>
      <c r="K556" s="50">
        <v>9.9</v>
      </c>
      <c r="L556" s="51">
        <f ca="1">TRUNC((TODAY()-tBase[[#This Row],[Data Nascimento]])/365)</f>
        <v>41</v>
      </c>
      <c r="M556" s="49" t="str">
        <f ca="1">HLOOKUP(tBase[[#This Row],[Idade]],$P$7:$S$8,2,TRUE)</f>
        <v>35 - 44</v>
      </c>
    </row>
    <row r="557" spans="2:13">
      <c r="B557" s="48">
        <v>33969903983</v>
      </c>
      <c r="C557" s="49" t="s">
        <v>324</v>
      </c>
      <c r="D557" s="49" t="s">
        <v>13</v>
      </c>
      <c r="E557" s="49" t="s">
        <v>291</v>
      </c>
      <c r="F557" s="49" t="s">
        <v>38</v>
      </c>
      <c r="G557" s="49" t="s">
        <v>52</v>
      </c>
      <c r="H557" s="11">
        <v>31798</v>
      </c>
      <c r="I557" s="11" t="s">
        <v>19</v>
      </c>
      <c r="J557" s="49" t="s">
        <v>18</v>
      </c>
      <c r="K557" s="50">
        <v>9.9</v>
      </c>
      <c r="L557" s="51">
        <f ca="1">TRUNC((TODAY()-tBase[[#This Row],[Data Nascimento]])/365)</f>
        <v>39</v>
      </c>
      <c r="M557" s="49" t="str">
        <f ca="1">HLOOKUP(tBase[[#This Row],[Idade]],$P$7:$S$8,2,TRUE)</f>
        <v>35 - 44</v>
      </c>
    </row>
    <row r="558" spans="2:13">
      <c r="B558" s="48">
        <v>47885298863</v>
      </c>
      <c r="C558" s="49" t="s">
        <v>324</v>
      </c>
      <c r="D558" s="49" t="s">
        <v>13</v>
      </c>
      <c r="E558" s="49" t="s">
        <v>291</v>
      </c>
      <c r="F558" s="49" t="s">
        <v>38</v>
      </c>
      <c r="G558" s="49" t="s">
        <v>52</v>
      </c>
      <c r="H558" s="11">
        <v>25907</v>
      </c>
      <c r="I558" s="11" t="s">
        <v>19</v>
      </c>
      <c r="J558" s="49" t="s">
        <v>18</v>
      </c>
      <c r="K558" s="50">
        <v>9.9</v>
      </c>
      <c r="L558" s="51">
        <f ca="1">TRUNC((TODAY()-tBase[[#This Row],[Data Nascimento]])/365)</f>
        <v>55</v>
      </c>
      <c r="M558" s="49" t="str">
        <f ca="1">HLOOKUP(tBase[[#This Row],[Idade]],$P$7:$S$8,2,TRUE)</f>
        <v>54-70</v>
      </c>
    </row>
    <row r="559" spans="2:13">
      <c r="B559" s="48">
        <v>31239662843</v>
      </c>
      <c r="C559" s="49" t="s">
        <v>325</v>
      </c>
      <c r="D559" s="49" t="s">
        <v>13</v>
      </c>
      <c r="E559" s="49" t="s">
        <v>291</v>
      </c>
      <c r="F559" s="49" t="s">
        <v>15</v>
      </c>
      <c r="G559" s="49" t="s">
        <v>32</v>
      </c>
      <c r="H559" s="11">
        <v>21125</v>
      </c>
      <c r="I559" s="11" t="s">
        <v>17</v>
      </c>
      <c r="J559" s="49" t="s">
        <v>18</v>
      </c>
      <c r="K559" s="50">
        <v>9.9</v>
      </c>
      <c r="L559" s="51">
        <f ca="1">TRUNC((TODAY()-tBase[[#This Row],[Data Nascimento]])/365)</f>
        <v>68</v>
      </c>
      <c r="M559" s="49" t="str">
        <f ca="1">HLOOKUP(tBase[[#This Row],[Idade]],$P$7:$S$8,2,TRUE)</f>
        <v>54-70</v>
      </c>
    </row>
    <row r="560" spans="2:13">
      <c r="B560" s="48">
        <v>77576268900</v>
      </c>
      <c r="C560" s="49" t="s">
        <v>325</v>
      </c>
      <c r="D560" s="49" t="s">
        <v>13</v>
      </c>
      <c r="E560" s="49" t="s">
        <v>291</v>
      </c>
      <c r="F560" s="49" t="s">
        <v>15</v>
      </c>
      <c r="G560" s="49" t="s">
        <v>32</v>
      </c>
      <c r="H560" s="11">
        <v>31037</v>
      </c>
      <c r="I560" s="11" t="s">
        <v>19</v>
      </c>
      <c r="J560" s="49" t="s">
        <v>18</v>
      </c>
      <c r="K560" s="50">
        <v>9.9</v>
      </c>
      <c r="L560" s="51">
        <f ca="1">TRUNC((TODAY()-tBase[[#This Row],[Data Nascimento]])/365)</f>
        <v>41</v>
      </c>
      <c r="M560" s="49" t="str">
        <f ca="1">HLOOKUP(tBase[[#This Row],[Idade]],$P$7:$S$8,2,TRUE)</f>
        <v>35 - 44</v>
      </c>
    </row>
    <row r="561" spans="2:13">
      <c r="B561" s="48">
        <v>34823329746</v>
      </c>
      <c r="C561" s="49" t="s">
        <v>326</v>
      </c>
      <c r="D561" s="49" t="s">
        <v>13</v>
      </c>
      <c r="E561" s="49" t="s">
        <v>291</v>
      </c>
      <c r="F561" s="49" t="s">
        <v>31</v>
      </c>
      <c r="G561" s="49" t="s">
        <v>32</v>
      </c>
      <c r="H561" s="11">
        <v>31195</v>
      </c>
      <c r="I561" s="11" t="s">
        <v>46</v>
      </c>
      <c r="J561" s="49" t="s">
        <v>33</v>
      </c>
      <c r="K561" s="50">
        <v>79.900000000000006</v>
      </c>
      <c r="L561" s="51">
        <f ca="1">TRUNC((TODAY()-tBase[[#This Row],[Data Nascimento]])/365)</f>
        <v>40</v>
      </c>
      <c r="M561" s="49" t="str">
        <f ca="1">HLOOKUP(tBase[[#This Row],[Idade]],$P$7:$S$8,2,TRUE)</f>
        <v>35 - 44</v>
      </c>
    </row>
    <row r="562" spans="2:13">
      <c r="B562" s="48">
        <v>44780432801</v>
      </c>
      <c r="C562" s="49" t="s">
        <v>326</v>
      </c>
      <c r="D562" s="49" t="s">
        <v>13</v>
      </c>
      <c r="E562" s="49" t="s">
        <v>291</v>
      </c>
      <c r="F562" s="49" t="s">
        <v>31</v>
      </c>
      <c r="G562" s="49" t="s">
        <v>32</v>
      </c>
      <c r="H562" s="11">
        <v>33672</v>
      </c>
      <c r="I562" s="11" t="s">
        <v>46</v>
      </c>
      <c r="J562" s="49" t="s">
        <v>33</v>
      </c>
      <c r="K562" s="50">
        <v>79.900000000000006</v>
      </c>
      <c r="L562" s="51">
        <f ca="1">TRUNC((TODAY()-tBase[[#This Row],[Data Nascimento]])/365)</f>
        <v>34</v>
      </c>
      <c r="M562" s="49" t="str">
        <f ca="1">HLOOKUP(tBase[[#This Row],[Idade]],$P$7:$S$8,2,TRUE)</f>
        <v>24-34</v>
      </c>
    </row>
    <row r="563" spans="2:13">
      <c r="B563" s="48">
        <v>34501445196</v>
      </c>
      <c r="C563" s="49" t="s">
        <v>327</v>
      </c>
      <c r="D563" s="49" t="s">
        <v>13</v>
      </c>
      <c r="E563" s="49" t="s">
        <v>291</v>
      </c>
      <c r="F563" s="49" t="s">
        <v>62</v>
      </c>
      <c r="G563" s="49" t="s">
        <v>52</v>
      </c>
      <c r="H563" s="11">
        <v>27167</v>
      </c>
      <c r="I563" s="11" t="s">
        <v>72</v>
      </c>
      <c r="J563" s="49" t="s">
        <v>18</v>
      </c>
      <c r="K563" s="50">
        <v>9.9</v>
      </c>
      <c r="L563" s="51">
        <f ca="1">TRUNC((TODAY()-tBase[[#This Row],[Data Nascimento]])/365)</f>
        <v>51</v>
      </c>
      <c r="M563" s="49" t="str">
        <f ca="1">HLOOKUP(tBase[[#This Row],[Idade]],$P$7:$S$8,2,TRUE)</f>
        <v>44 - 54</v>
      </c>
    </row>
    <row r="564" spans="2:13">
      <c r="B564" s="48">
        <v>87420964182</v>
      </c>
      <c r="C564" s="49" t="s">
        <v>327</v>
      </c>
      <c r="D564" s="49" t="s">
        <v>13</v>
      </c>
      <c r="E564" s="49" t="s">
        <v>291</v>
      </c>
      <c r="F564" s="49" t="s">
        <v>62</v>
      </c>
      <c r="G564" s="49" t="s">
        <v>52</v>
      </c>
      <c r="H564" s="11">
        <v>28768</v>
      </c>
      <c r="I564" s="11" t="s">
        <v>19</v>
      </c>
      <c r="J564" s="49" t="s">
        <v>18</v>
      </c>
      <c r="K564" s="50">
        <v>9.9</v>
      </c>
      <c r="L564" s="51">
        <f ca="1">TRUNC((TODAY()-tBase[[#This Row],[Data Nascimento]])/365)</f>
        <v>47</v>
      </c>
      <c r="M564" s="49" t="str">
        <f ca="1">HLOOKUP(tBase[[#This Row],[Idade]],$P$7:$S$8,2,TRUE)</f>
        <v>44 - 54</v>
      </c>
    </row>
    <row r="565" spans="2:13">
      <c r="B565" s="48">
        <v>43349394419</v>
      </c>
      <c r="C565" s="49" t="s">
        <v>328</v>
      </c>
      <c r="D565" s="49" t="s">
        <v>13</v>
      </c>
      <c r="E565" s="49" t="s">
        <v>291</v>
      </c>
      <c r="F565" s="49" t="s">
        <v>15</v>
      </c>
      <c r="G565" s="49" t="s">
        <v>16</v>
      </c>
      <c r="H565" s="11">
        <v>21824</v>
      </c>
      <c r="I565" s="11" t="s">
        <v>24</v>
      </c>
      <c r="J565" s="49" t="s">
        <v>41</v>
      </c>
      <c r="K565" s="50">
        <v>29.9</v>
      </c>
      <c r="L565" s="51">
        <f ca="1">TRUNC((TODAY()-tBase[[#This Row],[Data Nascimento]])/365)</f>
        <v>66</v>
      </c>
      <c r="M565" s="49" t="str">
        <f ca="1">HLOOKUP(tBase[[#This Row],[Idade]],$P$7:$S$8,2,TRUE)</f>
        <v>54-70</v>
      </c>
    </row>
    <row r="566" spans="2:13">
      <c r="B566" s="48">
        <v>53325037620</v>
      </c>
      <c r="C566" s="49" t="s">
        <v>328</v>
      </c>
      <c r="D566" s="49" t="s">
        <v>13</v>
      </c>
      <c r="E566" s="49" t="s">
        <v>291</v>
      </c>
      <c r="F566" s="49" t="s">
        <v>15</v>
      </c>
      <c r="G566" s="49" t="s">
        <v>16</v>
      </c>
      <c r="H566" s="11">
        <v>30956</v>
      </c>
      <c r="I566" s="11" t="s">
        <v>19</v>
      </c>
      <c r="J566" s="49" t="s">
        <v>41</v>
      </c>
      <c r="K566" s="50">
        <v>29.9</v>
      </c>
      <c r="L566" s="51">
        <f ca="1">TRUNC((TODAY()-tBase[[#This Row],[Data Nascimento]])/365)</f>
        <v>41</v>
      </c>
      <c r="M566" s="49" t="str">
        <f ca="1">HLOOKUP(tBase[[#This Row],[Idade]],$P$7:$S$8,2,TRUE)</f>
        <v>35 - 44</v>
      </c>
    </row>
    <row r="567" spans="2:13">
      <c r="B567" s="48">
        <v>29958942950</v>
      </c>
      <c r="C567" s="49" t="s">
        <v>329</v>
      </c>
      <c r="D567" s="49" t="s">
        <v>13</v>
      </c>
      <c r="E567" s="49" t="s">
        <v>291</v>
      </c>
      <c r="F567" s="49" t="s">
        <v>38</v>
      </c>
      <c r="G567" s="49" t="s">
        <v>16</v>
      </c>
      <c r="H567" s="11">
        <v>31436</v>
      </c>
      <c r="I567" s="11" t="s">
        <v>17</v>
      </c>
      <c r="J567" s="49" t="s">
        <v>18</v>
      </c>
      <c r="K567" s="50">
        <v>9.9</v>
      </c>
      <c r="L567" s="51">
        <f ca="1">TRUNC((TODAY()-tBase[[#This Row],[Data Nascimento]])/365)</f>
        <v>40</v>
      </c>
      <c r="M567" s="49" t="str">
        <f ca="1">HLOOKUP(tBase[[#This Row],[Idade]],$P$7:$S$8,2,TRUE)</f>
        <v>35 - 44</v>
      </c>
    </row>
    <row r="568" spans="2:13">
      <c r="B568" s="48">
        <v>69832499336</v>
      </c>
      <c r="C568" s="49" t="s">
        <v>329</v>
      </c>
      <c r="D568" s="49" t="s">
        <v>13</v>
      </c>
      <c r="E568" s="49" t="s">
        <v>291</v>
      </c>
      <c r="F568" s="49" t="s">
        <v>38</v>
      </c>
      <c r="G568" s="49" t="s">
        <v>16</v>
      </c>
      <c r="H568" s="11">
        <v>32869</v>
      </c>
      <c r="I568" s="11" t="s">
        <v>17</v>
      </c>
      <c r="J568" s="49" t="s">
        <v>18</v>
      </c>
      <c r="K568" s="50">
        <v>9.9</v>
      </c>
      <c r="L568" s="51">
        <f ca="1">TRUNC((TODAY()-tBase[[#This Row],[Data Nascimento]])/365)</f>
        <v>36</v>
      </c>
      <c r="M568" s="49" t="str">
        <f ca="1">HLOOKUP(tBase[[#This Row],[Idade]],$P$7:$S$8,2,TRUE)</f>
        <v>35 - 44</v>
      </c>
    </row>
    <row r="569" spans="2:13">
      <c r="B569" s="48">
        <v>27575618320</v>
      </c>
      <c r="C569" s="49" t="s">
        <v>330</v>
      </c>
      <c r="D569" s="49" t="s">
        <v>13</v>
      </c>
      <c r="E569" s="49" t="s">
        <v>291</v>
      </c>
      <c r="F569" s="49" t="s">
        <v>62</v>
      </c>
      <c r="G569" s="49" t="s">
        <v>16</v>
      </c>
      <c r="H569" s="11">
        <v>34634</v>
      </c>
      <c r="I569" s="11" t="s">
        <v>17</v>
      </c>
      <c r="J569" s="49" t="s">
        <v>18</v>
      </c>
      <c r="K569" s="50">
        <v>9.9</v>
      </c>
      <c r="L569" s="51">
        <f ca="1">TRUNC((TODAY()-tBase[[#This Row],[Data Nascimento]])/365)</f>
        <v>31</v>
      </c>
      <c r="M569" s="49" t="str">
        <f ca="1">HLOOKUP(tBase[[#This Row],[Idade]],$P$7:$S$8,2,TRUE)</f>
        <v>24-34</v>
      </c>
    </row>
    <row r="570" spans="2:13">
      <c r="B570" s="48">
        <v>59616857954</v>
      </c>
      <c r="C570" s="49" t="s">
        <v>330</v>
      </c>
      <c r="D570" s="49" t="s">
        <v>13</v>
      </c>
      <c r="E570" s="49" t="s">
        <v>291</v>
      </c>
      <c r="F570" s="49" t="s">
        <v>62</v>
      </c>
      <c r="G570" s="49" t="s">
        <v>16</v>
      </c>
      <c r="H570" s="11">
        <v>28482</v>
      </c>
      <c r="I570" s="11" t="s">
        <v>19</v>
      </c>
      <c r="J570" s="49" t="s">
        <v>18</v>
      </c>
      <c r="K570" s="50">
        <v>9.9</v>
      </c>
      <c r="L570" s="51">
        <f ca="1">TRUNC((TODAY()-tBase[[#This Row],[Data Nascimento]])/365)</f>
        <v>48</v>
      </c>
      <c r="M570" s="49" t="str">
        <f ca="1">HLOOKUP(tBase[[#This Row],[Idade]],$P$7:$S$8,2,TRUE)</f>
        <v>44 - 54</v>
      </c>
    </row>
    <row r="571" spans="2:13">
      <c r="B571" s="48">
        <v>43512417125</v>
      </c>
      <c r="C571" s="49" t="s">
        <v>331</v>
      </c>
      <c r="D571" s="49" t="s">
        <v>13</v>
      </c>
      <c r="E571" s="49" t="s">
        <v>291</v>
      </c>
      <c r="F571" s="49" t="s">
        <v>15</v>
      </c>
      <c r="G571" s="49" t="s">
        <v>16</v>
      </c>
      <c r="H571" s="11">
        <v>26300</v>
      </c>
      <c r="I571" s="11" t="s">
        <v>19</v>
      </c>
      <c r="J571" s="49" t="s">
        <v>41</v>
      </c>
      <c r="K571" s="50">
        <v>29.9</v>
      </c>
      <c r="L571" s="51">
        <f ca="1">TRUNC((TODAY()-tBase[[#This Row],[Data Nascimento]])/365)</f>
        <v>54</v>
      </c>
      <c r="M571" s="49" t="str">
        <f ca="1">HLOOKUP(tBase[[#This Row],[Idade]],$P$7:$S$8,2,TRUE)</f>
        <v>54-70</v>
      </c>
    </row>
    <row r="572" spans="2:13">
      <c r="B572" s="48">
        <v>94460718865</v>
      </c>
      <c r="C572" s="49" t="s">
        <v>331</v>
      </c>
      <c r="D572" s="49" t="s">
        <v>13</v>
      </c>
      <c r="E572" s="49" t="s">
        <v>291</v>
      </c>
      <c r="F572" s="49" t="s">
        <v>15</v>
      </c>
      <c r="G572" s="49" t="s">
        <v>32</v>
      </c>
      <c r="H572" s="11">
        <v>24035</v>
      </c>
      <c r="I572" s="11" t="s">
        <v>17</v>
      </c>
      <c r="J572" s="49" t="s">
        <v>41</v>
      </c>
      <c r="K572" s="50">
        <v>29.9</v>
      </c>
      <c r="L572" s="51">
        <f ca="1">TRUNC((TODAY()-tBase[[#This Row],[Data Nascimento]])/365)</f>
        <v>60</v>
      </c>
      <c r="M572" s="49" t="str">
        <f ca="1">HLOOKUP(tBase[[#This Row],[Idade]],$P$7:$S$8,2,TRUE)</f>
        <v>54-70</v>
      </c>
    </row>
    <row r="573" spans="2:13">
      <c r="B573" s="48">
        <v>32076861903</v>
      </c>
      <c r="C573" s="49" t="s">
        <v>332</v>
      </c>
      <c r="D573" s="49" t="s">
        <v>13</v>
      </c>
      <c r="E573" s="49" t="s">
        <v>291</v>
      </c>
      <c r="F573" s="49" t="s">
        <v>38</v>
      </c>
      <c r="G573" s="49" t="s">
        <v>16</v>
      </c>
      <c r="H573" s="11">
        <v>23957</v>
      </c>
      <c r="I573" s="11" t="s">
        <v>17</v>
      </c>
      <c r="J573" s="49" t="s">
        <v>18</v>
      </c>
      <c r="K573" s="50">
        <v>9.9</v>
      </c>
      <c r="L573" s="51">
        <f ca="1">TRUNC((TODAY()-tBase[[#This Row],[Data Nascimento]])/365)</f>
        <v>60</v>
      </c>
      <c r="M573" s="49" t="str">
        <f ca="1">HLOOKUP(tBase[[#This Row],[Idade]],$P$7:$S$8,2,TRUE)</f>
        <v>54-70</v>
      </c>
    </row>
    <row r="574" spans="2:13">
      <c r="B574" s="48">
        <v>64965174741</v>
      </c>
      <c r="C574" s="49" t="s">
        <v>332</v>
      </c>
      <c r="D574" s="49" t="s">
        <v>13</v>
      </c>
      <c r="E574" s="49" t="s">
        <v>291</v>
      </c>
      <c r="F574" s="49" t="s">
        <v>38</v>
      </c>
      <c r="G574" s="49" t="s">
        <v>16</v>
      </c>
      <c r="H574" s="11">
        <v>26331</v>
      </c>
      <c r="I574" s="11" t="s">
        <v>24</v>
      </c>
      <c r="J574" s="49" t="s">
        <v>18</v>
      </c>
      <c r="K574" s="50">
        <v>9.9</v>
      </c>
      <c r="L574" s="51">
        <f ca="1">TRUNC((TODAY()-tBase[[#This Row],[Data Nascimento]])/365)</f>
        <v>54</v>
      </c>
      <c r="M574" s="49" t="str">
        <f ca="1">HLOOKUP(tBase[[#This Row],[Idade]],$P$7:$S$8,2,TRUE)</f>
        <v>54-70</v>
      </c>
    </row>
    <row r="575" spans="2:13">
      <c r="B575" s="48">
        <v>44113863787</v>
      </c>
      <c r="C575" s="49" t="s">
        <v>333</v>
      </c>
      <c r="D575" s="49" t="s">
        <v>13</v>
      </c>
      <c r="E575" s="49" t="s">
        <v>291</v>
      </c>
      <c r="F575" s="49" t="s">
        <v>59</v>
      </c>
      <c r="G575" s="49" t="s">
        <v>52</v>
      </c>
      <c r="H575" s="11">
        <v>26021</v>
      </c>
      <c r="I575" s="11" t="s">
        <v>17</v>
      </c>
      <c r="J575" s="49" t="s">
        <v>33</v>
      </c>
      <c r="K575" s="50">
        <v>79.900000000000006</v>
      </c>
      <c r="L575" s="51">
        <f ca="1">TRUNC((TODAY()-tBase[[#This Row],[Data Nascimento]])/365)</f>
        <v>55</v>
      </c>
      <c r="M575" s="49" t="str">
        <f ca="1">HLOOKUP(tBase[[#This Row],[Idade]],$P$7:$S$8,2,TRUE)</f>
        <v>54-70</v>
      </c>
    </row>
    <row r="576" spans="2:13">
      <c r="B576" s="48">
        <v>80727883222</v>
      </c>
      <c r="C576" s="49" t="s">
        <v>333</v>
      </c>
      <c r="D576" s="49" t="s">
        <v>13</v>
      </c>
      <c r="E576" s="49" t="s">
        <v>291</v>
      </c>
      <c r="F576" s="49" t="s">
        <v>59</v>
      </c>
      <c r="G576" s="49" t="s">
        <v>52</v>
      </c>
      <c r="H576" s="11">
        <v>27726</v>
      </c>
      <c r="I576" s="11" t="s">
        <v>21</v>
      </c>
      <c r="J576" s="49" t="s">
        <v>33</v>
      </c>
      <c r="K576" s="50">
        <v>79.900000000000006</v>
      </c>
      <c r="L576" s="51">
        <f ca="1">TRUNC((TODAY()-tBase[[#This Row],[Data Nascimento]])/365)</f>
        <v>50</v>
      </c>
      <c r="M576" s="49" t="str">
        <f ca="1">HLOOKUP(tBase[[#This Row],[Idade]],$P$7:$S$8,2,TRUE)</f>
        <v>44 - 54</v>
      </c>
    </row>
    <row r="577" spans="2:13">
      <c r="B577" s="48">
        <v>36396081744</v>
      </c>
      <c r="C577" s="49" t="s">
        <v>334</v>
      </c>
      <c r="D577" s="49" t="s">
        <v>13</v>
      </c>
      <c r="E577" s="49" t="s">
        <v>291</v>
      </c>
      <c r="F577" s="49" t="s">
        <v>38</v>
      </c>
      <c r="G577" s="49" t="s">
        <v>52</v>
      </c>
      <c r="H577" s="11">
        <v>25711</v>
      </c>
      <c r="I577" s="11" t="s">
        <v>17</v>
      </c>
      <c r="J577" s="49" t="s">
        <v>41</v>
      </c>
      <c r="K577" s="50">
        <v>29.9</v>
      </c>
      <c r="L577" s="51">
        <f ca="1">TRUNC((TODAY()-tBase[[#This Row],[Data Nascimento]])/365)</f>
        <v>55</v>
      </c>
      <c r="M577" s="49" t="str">
        <f ca="1">HLOOKUP(tBase[[#This Row],[Idade]],$P$7:$S$8,2,TRUE)</f>
        <v>54-70</v>
      </c>
    </row>
    <row r="578" spans="2:13">
      <c r="B578" s="48">
        <v>64859560508</v>
      </c>
      <c r="C578" s="49" t="s">
        <v>334</v>
      </c>
      <c r="D578" s="49" t="s">
        <v>13</v>
      </c>
      <c r="E578" s="49" t="s">
        <v>291</v>
      </c>
      <c r="F578" s="49" t="s">
        <v>38</v>
      </c>
      <c r="G578" s="49" t="s">
        <v>52</v>
      </c>
      <c r="H578" s="11">
        <v>25937</v>
      </c>
      <c r="I578" s="11" t="s">
        <v>17</v>
      </c>
      <c r="J578" s="49" t="s">
        <v>41</v>
      </c>
      <c r="K578" s="50">
        <v>29.9</v>
      </c>
      <c r="L578" s="51">
        <f ca="1">TRUNC((TODAY()-tBase[[#This Row],[Data Nascimento]])/365)</f>
        <v>55</v>
      </c>
      <c r="M578" s="49" t="str">
        <f ca="1">HLOOKUP(tBase[[#This Row],[Idade]],$P$7:$S$8,2,TRUE)</f>
        <v>54-70</v>
      </c>
    </row>
    <row r="579" spans="2:13">
      <c r="B579" s="48">
        <v>40059307494</v>
      </c>
      <c r="C579" s="49" t="s">
        <v>335</v>
      </c>
      <c r="D579" s="49" t="s">
        <v>13</v>
      </c>
      <c r="E579" s="49" t="s">
        <v>291</v>
      </c>
      <c r="F579" s="49" t="s">
        <v>40</v>
      </c>
      <c r="G579" s="49" t="s">
        <v>32</v>
      </c>
      <c r="H579" s="11">
        <v>20239</v>
      </c>
      <c r="I579" s="11" t="s">
        <v>17</v>
      </c>
      <c r="J579" s="49" t="s">
        <v>41</v>
      </c>
      <c r="K579" s="50">
        <v>29.9</v>
      </c>
      <c r="L579" s="51">
        <f ca="1">TRUNC((TODAY()-tBase[[#This Row],[Data Nascimento]])/365)</f>
        <v>70</v>
      </c>
      <c r="M579" s="49" t="str">
        <f ca="1">HLOOKUP(tBase[[#This Row],[Idade]],$P$7:$S$8,2,TRUE)</f>
        <v>54-70</v>
      </c>
    </row>
    <row r="580" spans="2:13">
      <c r="B580" s="48">
        <v>98024981881</v>
      </c>
      <c r="C580" s="49" t="s">
        <v>335</v>
      </c>
      <c r="D580" s="49" t="s">
        <v>13</v>
      </c>
      <c r="E580" s="49" t="s">
        <v>291</v>
      </c>
      <c r="F580" s="49" t="s">
        <v>40</v>
      </c>
      <c r="G580" s="49" t="s">
        <v>32</v>
      </c>
      <c r="H580" s="11">
        <v>24077</v>
      </c>
      <c r="I580" s="11" t="s">
        <v>72</v>
      </c>
      <c r="J580" s="49" t="s">
        <v>41</v>
      </c>
      <c r="K580" s="50">
        <v>29.9</v>
      </c>
      <c r="L580" s="51">
        <f ca="1">TRUNC((TODAY()-tBase[[#This Row],[Data Nascimento]])/365)</f>
        <v>60</v>
      </c>
      <c r="M580" s="49" t="str">
        <f ca="1">HLOOKUP(tBase[[#This Row],[Idade]],$P$7:$S$8,2,TRUE)</f>
        <v>54-70</v>
      </c>
    </row>
    <row r="581" spans="2:13">
      <c r="B581" s="48">
        <v>23744776016</v>
      </c>
      <c r="C581" s="49" t="s">
        <v>336</v>
      </c>
      <c r="D581" s="49" t="s">
        <v>13</v>
      </c>
      <c r="E581" s="49" t="s">
        <v>291</v>
      </c>
      <c r="F581" s="49" t="s">
        <v>59</v>
      </c>
      <c r="G581" s="49" t="s">
        <v>52</v>
      </c>
      <c r="H581" s="11">
        <v>29555</v>
      </c>
      <c r="I581" s="11" t="s">
        <v>46</v>
      </c>
      <c r="J581" s="49" t="s">
        <v>18</v>
      </c>
      <c r="K581" s="50">
        <v>9.9</v>
      </c>
      <c r="L581" s="51">
        <f ca="1">TRUNC((TODAY()-tBase[[#This Row],[Data Nascimento]])/365)</f>
        <v>45</v>
      </c>
      <c r="M581" s="49" t="str">
        <f ca="1">HLOOKUP(tBase[[#This Row],[Idade]],$P$7:$S$8,2,TRUE)</f>
        <v>44 - 54</v>
      </c>
    </row>
    <row r="582" spans="2:13">
      <c r="B582" s="48">
        <v>57248670590</v>
      </c>
      <c r="C582" s="49" t="s">
        <v>336</v>
      </c>
      <c r="D582" s="49" t="s">
        <v>13</v>
      </c>
      <c r="E582" s="49" t="s">
        <v>291</v>
      </c>
      <c r="F582" s="49" t="s">
        <v>59</v>
      </c>
      <c r="G582" s="49" t="s">
        <v>52</v>
      </c>
      <c r="H582" s="11">
        <v>28258</v>
      </c>
      <c r="I582" s="11" t="s">
        <v>72</v>
      </c>
      <c r="J582" s="49" t="s">
        <v>18</v>
      </c>
      <c r="K582" s="50">
        <v>9.9</v>
      </c>
      <c r="L582" s="51">
        <f ca="1">TRUNC((TODAY()-tBase[[#This Row],[Data Nascimento]])/365)</f>
        <v>48</v>
      </c>
      <c r="M582" s="49" t="str">
        <f ca="1">HLOOKUP(tBase[[#This Row],[Idade]],$P$7:$S$8,2,TRUE)</f>
        <v>44 - 54</v>
      </c>
    </row>
    <row r="583" spans="2:13">
      <c r="B583" s="48">
        <v>43955177890</v>
      </c>
      <c r="C583" s="49" t="s">
        <v>337</v>
      </c>
      <c r="D583" s="49" t="s">
        <v>13</v>
      </c>
      <c r="E583" s="49" t="s">
        <v>291</v>
      </c>
      <c r="F583" s="49" t="s">
        <v>38</v>
      </c>
      <c r="G583" s="49" t="s">
        <v>16</v>
      </c>
      <c r="H583" s="11">
        <v>27565</v>
      </c>
      <c r="I583" s="11" t="s">
        <v>17</v>
      </c>
      <c r="J583" s="49" t="s">
        <v>18</v>
      </c>
      <c r="K583" s="50">
        <v>9.9</v>
      </c>
      <c r="L583" s="51">
        <f ca="1">TRUNC((TODAY()-tBase[[#This Row],[Data Nascimento]])/365)</f>
        <v>50</v>
      </c>
      <c r="M583" s="49" t="str">
        <f ca="1">HLOOKUP(tBase[[#This Row],[Idade]],$P$7:$S$8,2,TRUE)</f>
        <v>44 - 54</v>
      </c>
    </row>
    <row r="584" spans="2:13">
      <c r="B584" s="48">
        <v>48554358741</v>
      </c>
      <c r="C584" s="49" t="s">
        <v>337</v>
      </c>
      <c r="D584" s="49" t="s">
        <v>13</v>
      </c>
      <c r="E584" s="49" t="s">
        <v>291</v>
      </c>
      <c r="F584" s="49" t="s">
        <v>38</v>
      </c>
      <c r="G584" s="49" t="s">
        <v>16</v>
      </c>
      <c r="H584" s="11">
        <v>24514</v>
      </c>
      <c r="I584" s="11" t="s">
        <v>72</v>
      </c>
      <c r="J584" s="49" t="s">
        <v>18</v>
      </c>
      <c r="K584" s="50">
        <v>9.9</v>
      </c>
      <c r="L584" s="51">
        <f ca="1">TRUNC((TODAY()-tBase[[#This Row],[Data Nascimento]])/365)</f>
        <v>59</v>
      </c>
      <c r="M584" s="49" t="str">
        <f ca="1">HLOOKUP(tBase[[#This Row],[Idade]],$P$7:$S$8,2,TRUE)</f>
        <v>54-70</v>
      </c>
    </row>
    <row r="585" spans="2:13">
      <c r="B585" s="48">
        <v>52456163228</v>
      </c>
      <c r="C585" s="49" t="s">
        <v>338</v>
      </c>
      <c r="D585" s="49" t="s">
        <v>13</v>
      </c>
      <c r="E585" s="49" t="s">
        <v>291</v>
      </c>
      <c r="F585" s="49" t="s">
        <v>40</v>
      </c>
      <c r="G585" s="49" t="s">
        <v>32</v>
      </c>
      <c r="H585" s="11">
        <v>25752</v>
      </c>
      <c r="I585" s="11" t="s">
        <v>19</v>
      </c>
      <c r="J585" s="49" t="s">
        <v>41</v>
      </c>
      <c r="K585" s="50">
        <v>29.9</v>
      </c>
      <c r="L585" s="51">
        <f ca="1">TRUNC((TODAY()-tBase[[#This Row],[Data Nascimento]])/365)</f>
        <v>55</v>
      </c>
      <c r="M585" s="49" t="str">
        <f ca="1">HLOOKUP(tBase[[#This Row],[Idade]],$P$7:$S$8,2,TRUE)</f>
        <v>54-70</v>
      </c>
    </row>
    <row r="586" spans="2:13">
      <c r="B586" s="48">
        <v>57464065635</v>
      </c>
      <c r="C586" s="49" t="s">
        <v>338</v>
      </c>
      <c r="D586" s="49" t="s">
        <v>13</v>
      </c>
      <c r="E586" s="49" t="s">
        <v>291</v>
      </c>
      <c r="F586" s="49" t="s">
        <v>40</v>
      </c>
      <c r="G586" s="49" t="s">
        <v>32</v>
      </c>
      <c r="H586" s="11">
        <v>33591</v>
      </c>
      <c r="I586" s="11" t="s">
        <v>21</v>
      </c>
      <c r="J586" s="49" t="s">
        <v>41</v>
      </c>
      <c r="K586" s="50">
        <v>29.9</v>
      </c>
      <c r="L586" s="51">
        <f ca="1">TRUNC((TODAY()-tBase[[#This Row],[Data Nascimento]])/365)</f>
        <v>34</v>
      </c>
      <c r="M586" s="49" t="str">
        <f ca="1">HLOOKUP(tBase[[#This Row],[Idade]],$P$7:$S$8,2,TRUE)</f>
        <v>24-34</v>
      </c>
    </row>
    <row r="587" spans="2:13">
      <c r="B587" s="48">
        <v>34871980724</v>
      </c>
      <c r="C587" s="49" t="s">
        <v>339</v>
      </c>
      <c r="D587" s="49" t="s">
        <v>13</v>
      </c>
      <c r="E587" s="49" t="s">
        <v>291</v>
      </c>
      <c r="F587" s="49" t="s">
        <v>15</v>
      </c>
      <c r="G587" s="49" t="s">
        <v>32</v>
      </c>
      <c r="H587" s="11">
        <v>30093</v>
      </c>
      <c r="I587" s="11" t="s">
        <v>19</v>
      </c>
      <c r="J587" s="49" t="s">
        <v>41</v>
      </c>
      <c r="K587" s="50">
        <v>29.9</v>
      </c>
      <c r="L587" s="51">
        <f ca="1">TRUNC((TODAY()-tBase[[#This Row],[Data Nascimento]])/365)</f>
        <v>43</v>
      </c>
      <c r="M587" s="49" t="str">
        <f ca="1">HLOOKUP(tBase[[#This Row],[Idade]],$P$7:$S$8,2,TRUE)</f>
        <v>35 - 44</v>
      </c>
    </row>
    <row r="588" spans="2:13">
      <c r="B588" s="48">
        <v>83445012725</v>
      </c>
      <c r="C588" s="49" t="s">
        <v>339</v>
      </c>
      <c r="D588" s="49" t="s">
        <v>13</v>
      </c>
      <c r="E588" s="49" t="s">
        <v>291</v>
      </c>
      <c r="F588" s="49" t="s">
        <v>15</v>
      </c>
      <c r="G588" s="49" t="s">
        <v>32</v>
      </c>
      <c r="H588" s="11">
        <v>22265</v>
      </c>
      <c r="I588" s="11" t="s">
        <v>17</v>
      </c>
      <c r="J588" s="49" t="s">
        <v>41</v>
      </c>
      <c r="K588" s="50">
        <v>29.9</v>
      </c>
      <c r="L588" s="51">
        <f ca="1">TRUNC((TODAY()-tBase[[#This Row],[Data Nascimento]])/365)</f>
        <v>65</v>
      </c>
      <c r="M588" s="49" t="str">
        <f ca="1">HLOOKUP(tBase[[#This Row],[Idade]],$P$7:$S$8,2,TRUE)</f>
        <v>54-70</v>
      </c>
    </row>
    <row r="589" spans="2:13">
      <c r="B589" s="48">
        <v>40243096179</v>
      </c>
      <c r="C589" s="49" t="s">
        <v>340</v>
      </c>
      <c r="D589" s="49" t="s">
        <v>13</v>
      </c>
      <c r="E589" s="49" t="s">
        <v>291</v>
      </c>
      <c r="F589" s="49" t="s">
        <v>15</v>
      </c>
      <c r="G589" s="49" t="s">
        <v>16</v>
      </c>
      <c r="H589" s="11">
        <v>24009</v>
      </c>
      <c r="I589" s="11" t="s">
        <v>17</v>
      </c>
      <c r="J589" s="49" t="s">
        <v>41</v>
      </c>
      <c r="K589" s="50">
        <v>29.9</v>
      </c>
      <c r="L589" s="51">
        <f ca="1">TRUNC((TODAY()-tBase[[#This Row],[Data Nascimento]])/365)</f>
        <v>60</v>
      </c>
      <c r="M589" s="49" t="str">
        <f ca="1">HLOOKUP(tBase[[#This Row],[Idade]],$P$7:$S$8,2,TRUE)</f>
        <v>54-70</v>
      </c>
    </row>
    <row r="590" spans="2:13">
      <c r="B590" s="48">
        <v>93661850588</v>
      </c>
      <c r="C590" s="49" t="s">
        <v>340</v>
      </c>
      <c r="D590" s="49" t="s">
        <v>13</v>
      </c>
      <c r="E590" s="49" t="s">
        <v>291</v>
      </c>
      <c r="F590" s="49" t="s">
        <v>15</v>
      </c>
      <c r="G590" s="49" t="s">
        <v>52</v>
      </c>
      <c r="H590" s="11">
        <v>30271</v>
      </c>
      <c r="I590" s="11" t="s">
        <v>19</v>
      </c>
      <c r="J590" s="49" t="s">
        <v>41</v>
      </c>
      <c r="K590" s="50">
        <v>29.9</v>
      </c>
      <c r="L590" s="51">
        <f ca="1">TRUNC((TODAY()-tBase[[#This Row],[Data Nascimento]])/365)</f>
        <v>43</v>
      </c>
      <c r="M590" s="49" t="str">
        <f ca="1">HLOOKUP(tBase[[#This Row],[Idade]],$P$7:$S$8,2,TRUE)</f>
        <v>35 - 44</v>
      </c>
    </row>
    <row r="591" spans="2:13">
      <c r="B591" s="48">
        <v>37789075708</v>
      </c>
      <c r="C591" s="49" t="s">
        <v>341</v>
      </c>
      <c r="D591" s="49" t="s">
        <v>13</v>
      </c>
      <c r="E591" s="49" t="s">
        <v>291</v>
      </c>
      <c r="F591" s="49" t="s">
        <v>38</v>
      </c>
      <c r="G591" s="49" t="s">
        <v>16</v>
      </c>
      <c r="H591" s="11">
        <v>33101</v>
      </c>
      <c r="I591" s="11" t="s">
        <v>72</v>
      </c>
      <c r="J591" s="49" t="s">
        <v>44</v>
      </c>
      <c r="K591" s="50">
        <v>35.9</v>
      </c>
      <c r="L591" s="51">
        <f ca="1">TRUNC((TODAY()-tBase[[#This Row],[Data Nascimento]])/365)</f>
        <v>35</v>
      </c>
      <c r="M591" s="49" t="str">
        <f ca="1">HLOOKUP(tBase[[#This Row],[Idade]],$P$7:$S$8,2,TRUE)</f>
        <v>35 - 44</v>
      </c>
    </row>
    <row r="592" spans="2:13">
      <c r="B592" s="48">
        <v>69859227518</v>
      </c>
      <c r="C592" s="49" t="s">
        <v>341</v>
      </c>
      <c r="D592" s="49" t="s">
        <v>13</v>
      </c>
      <c r="E592" s="49" t="s">
        <v>291</v>
      </c>
      <c r="F592" s="49" t="s">
        <v>38</v>
      </c>
      <c r="G592" s="49" t="s">
        <v>16</v>
      </c>
      <c r="H592" s="11">
        <v>33151</v>
      </c>
      <c r="I592" s="11" t="s">
        <v>17</v>
      </c>
      <c r="J592" s="49" t="s">
        <v>44</v>
      </c>
      <c r="K592" s="50">
        <v>35.9</v>
      </c>
      <c r="L592" s="51">
        <f ca="1">TRUNC((TODAY()-tBase[[#This Row],[Data Nascimento]])/365)</f>
        <v>35</v>
      </c>
      <c r="M592" s="49" t="str">
        <f ca="1">HLOOKUP(tBase[[#This Row],[Idade]],$P$7:$S$8,2,TRUE)</f>
        <v>35 - 44</v>
      </c>
    </row>
    <row r="593" spans="2:13">
      <c r="B593" s="48">
        <v>52237008409</v>
      </c>
      <c r="C593" s="49" t="s">
        <v>342</v>
      </c>
      <c r="D593" s="49" t="s">
        <v>13</v>
      </c>
      <c r="E593" s="49" t="s">
        <v>291</v>
      </c>
      <c r="F593" s="49" t="s">
        <v>38</v>
      </c>
      <c r="G593" s="49" t="s">
        <v>16</v>
      </c>
      <c r="H593" s="11">
        <v>28985</v>
      </c>
      <c r="I593" s="11" t="s">
        <v>46</v>
      </c>
      <c r="J593" s="49" t="s">
        <v>44</v>
      </c>
      <c r="K593" s="50">
        <v>35.9</v>
      </c>
      <c r="L593" s="51">
        <f ca="1">TRUNC((TODAY()-tBase[[#This Row],[Data Nascimento]])/365)</f>
        <v>46</v>
      </c>
      <c r="M593" s="49" t="str">
        <f ca="1">HLOOKUP(tBase[[#This Row],[Idade]],$P$7:$S$8,2,TRUE)</f>
        <v>44 - 54</v>
      </c>
    </row>
    <row r="594" spans="2:13">
      <c r="B594" s="48">
        <v>82322292165</v>
      </c>
      <c r="C594" s="49" t="s">
        <v>342</v>
      </c>
      <c r="D594" s="49" t="s">
        <v>13</v>
      </c>
      <c r="E594" s="49" t="s">
        <v>291</v>
      </c>
      <c r="F594" s="49" t="s">
        <v>38</v>
      </c>
      <c r="G594" s="49" t="s">
        <v>16</v>
      </c>
      <c r="H594" s="11">
        <v>22049</v>
      </c>
      <c r="I594" s="11" t="s">
        <v>72</v>
      </c>
      <c r="J594" s="49" t="s">
        <v>44</v>
      </c>
      <c r="K594" s="50">
        <v>35.9</v>
      </c>
      <c r="L594" s="51">
        <f ca="1">TRUNC((TODAY()-tBase[[#This Row],[Data Nascimento]])/365)</f>
        <v>65</v>
      </c>
      <c r="M594" s="49" t="str">
        <f ca="1">HLOOKUP(tBase[[#This Row],[Idade]],$P$7:$S$8,2,TRUE)</f>
        <v>54-70</v>
      </c>
    </row>
    <row r="595" spans="2:13">
      <c r="B595" s="48">
        <v>34473182713</v>
      </c>
      <c r="C595" s="49" t="s">
        <v>343</v>
      </c>
      <c r="D595" s="49" t="s">
        <v>13</v>
      </c>
      <c r="E595" s="49" t="s">
        <v>291</v>
      </c>
      <c r="F595" s="49" t="s">
        <v>38</v>
      </c>
      <c r="G595" s="49" t="s">
        <v>32</v>
      </c>
      <c r="H595" s="11">
        <v>32369</v>
      </c>
      <c r="I595" s="11" t="s">
        <v>24</v>
      </c>
      <c r="J595" s="49" t="s">
        <v>41</v>
      </c>
      <c r="K595" s="50">
        <v>29.9</v>
      </c>
      <c r="L595" s="51">
        <f ca="1">TRUNC((TODAY()-tBase[[#This Row],[Data Nascimento]])/365)</f>
        <v>37</v>
      </c>
      <c r="M595" s="49" t="str">
        <f ca="1">HLOOKUP(tBase[[#This Row],[Idade]],$P$7:$S$8,2,TRUE)</f>
        <v>35 - 44</v>
      </c>
    </row>
    <row r="596" spans="2:13">
      <c r="B596" s="48">
        <v>35746258274</v>
      </c>
      <c r="C596" s="49" t="s">
        <v>343</v>
      </c>
      <c r="D596" s="49" t="s">
        <v>13</v>
      </c>
      <c r="E596" s="49" t="s">
        <v>291</v>
      </c>
      <c r="F596" s="49" t="s">
        <v>38</v>
      </c>
      <c r="G596" s="49" t="s">
        <v>32</v>
      </c>
      <c r="H596" s="11">
        <v>20176</v>
      </c>
      <c r="I596" s="11" t="s">
        <v>72</v>
      </c>
      <c r="J596" s="49" t="s">
        <v>41</v>
      </c>
      <c r="K596" s="50">
        <v>29.9</v>
      </c>
      <c r="L596" s="51">
        <f ca="1">TRUNC((TODAY()-tBase[[#This Row],[Data Nascimento]])/365)</f>
        <v>71</v>
      </c>
      <c r="M596" s="49" t="str">
        <f ca="1">HLOOKUP(tBase[[#This Row],[Idade]],$P$7:$S$8,2,TRUE)</f>
        <v>54-70</v>
      </c>
    </row>
    <row r="597" spans="2:13">
      <c r="B597" s="48">
        <v>29062765488</v>
      </c>
      <c r="C597" s="49" t="s">
        <v>344</v>
      </c>
      <c r="D597" s="49" t="s">
        <v>13</v>
      </c>
      <c r="E597" s="49" t="s">
        <v>291</v>
      </c>
      <c r="F597" s="49" t="s">
        <v>59</v>
      </c>
      <c r="G597" s="49" t="s">
        <v>52</v>
      </c>
      <c r="H597" s="11">
        <v>21028</v>
      </c>
      <c r="I597" s="11" t="s">
        <v>17</v>
      </c>
      <c r="J597" s="49" t="s">
        <v>44</v>
      </c>
      <c r="K597" s="50">
        <v>35.9</v>
      </c>
      <c r="L597" s="51">
        <f ca="1">TRUNC((TODAY()-tBase[[#This Row],[Data Nascimento]])/365)</f>
        <v>68</v>
      </c>
      <c r="M597" s="49" t="str">
        <f ca="1">HLOOKUP(tBase[[#This Row],[Idade]],$P$7:$S$8,2,TRUE)</f>
        <v>54-70</v>
      </c>
    </row>
    <row r="598" spans="2:13">
      <c r="B598" s="48">
        <v>53994694316</v>
      </c>
      <c r="C598" s="49" t="s">
        <v>344</v>
      </c>
      <c r="D598" s="49" t="s">
        <v>13</v>
      </c>
      <c r="E598" s="49" t="s">
        <v>291</v>
      </c>
      <c r="F598" s="49" t="s">
        <v>59</v>
      </c>
      <c r="G598" s="49" t="s">
        <v>52</v>
      </c>
      <c r="H598" s="11">
        <v>31146</v>
      </c>
      <c r="I598" s="11" t="s">
        <v>72</v>
      </c>
      <c r="J598" s="49" t="s">
        <v>44</v>
      </c>
      <c r="K598" s="50">
        <v>35.9</v>
      </c>
      <c r="L598" s="51">
        <f ca="1">TRUNC((TODAY()-tBase[[#This Row],[Data Nascimento]])/365)</f>
        <v>40</v>
      </c>
      <c r="M598" s="49" t="str">
        <f ca="1">HLOOKUP(tBase[[#This Row],[Idade]],$P$7:$S$8,2,TRUE)</f>
        <v>35 - 44</v>
      </c>
    </row>
    <row r="599" spans="2:13">
      <c r="B599" s="48">
        <v>27733422032</v>
      </c>
      <c r="C599" s="49" t="s">
        <v>345</v>
      </c>
      <c r="D599" s="49" t="s">
        <v>13</v>
      </c>
      <c r="E599" s="49" t="s">
        <v>291</v>
      </c>
      <c r="F599" s="49" t="s">
        <v>40</v>
      </c>
      <c r="G599" s="49" t="s">
        <v>32</v>
      </c>
      <c r="H599" s="11">
        <v>32343</v>
      </c>
      <c r="I599" s="11" t="s">
        <v>21</v>
      </c>
      <c r="J599" s="49" t="s">
        <v>41</v>
      </c>
      <c r="K599" s="50">
        <v>29.9</v>
      </c>
      <c r="L599" s="51">
        <f ca="1">TRUNC((TODAY()-tBase[[#This Row],[Data Nascimento]])/365)</f>
        <v>37</v>
      </c>
      <c r="M599" s="49" t="str">
        <f ca="1">HLOOKUP(tBase[[#This Row],[Idade]],$P$7:$S$8,2,TRUE)</f>
        <v>35 - 44</v>
      </c>
    </row>
    <row r="600" spans="2:13">
      <c r="B600" s="48">
        <v>76227666348</v>
      </c>
      <c r="C600" s="49" t="s">
        <v>345</v>
      </c>
      <c r="D600" s="49" t="s">
        <v>13</v>
      </c>
      <c r="E600" s="49" t="s">
        <v>291</v>
      </c>
      <c r="F600" s="49" t="s">
        <v>40</v>
      </c>
      <c r="G600" s="49" t="s">
        <v>32</v>
      </c>
      <c r="H600" s="11">
        <v>33621</v>
      </c>
      <c r="I600" s="11" t="s">
        <v>17</v>
      </c>
      <c r="J600" s="49" t="s">
        <v>41</v>
      </c>
      <c r="K600" s="50">
        <v>29.9</v>
      </c>
      <c r="L600" s="51">
        <f ca="1">TRUNC((TODAY()-tBase[[#This Row],[Data Nascimento]])/365)</f>
        <v>34</v>
      </c>
      <c r="M600" s="49" t="str">
        <f ca="1">HLOOKUP(tBase[[#This Row],[Idade]],$P$7:$S$8,2,TRUE)</f>
        <v>24-34</v>
      </c>
    </row>
    <row r="601" spans="2:13">
      <c r="B601" s="48">
        <v>51624291281</v>
      </c>
      <c r="C601" s="49" t="s">
        <v>346</v>
      </c>
      <c r="D601" s="49" t="s">
        <v>13</v>
      </c>
      <c r="E601" s="49" t="s">
        <v>291</v>
      </c>
      <c r="F601" s="49" t="s">
        <v>59</v>
      </c>
      <c r="G601" s="49" t="s">
        <v>16</v>
      </c>
      <c r="H601" s="11">
        <v>25264</v>
      </c>
      <c r="I601" s="11" t="s">
        <v>19</v>
      </c>
      <c r="J601" s="49" t="s">
        <v>18</v>
      </c>
      <c r="K601" s="50">
        <v>9.9</v>
      </c>
      <c r="L601" s="51">
        <f ca="1">TRUNC((TODAY()-tBase[[#This Row],[Data Nascimento]])/365)</f>
        <v>57</v>
      </c>
      <c r="M601" s="49" t="str">
        <f ca="1">HLOOKUP(tBase[[#This Row],[Idade]],$P$7:$S$8,2,TRUE)</f>
        <v>54-70</v>
      </c>
    </row>
    <row r="602" spans="2:13">
      <c r="B602" s="48">
        <v>76419222774</v>
      </c>
      <c r="C602" s="49" t="s">
        <v>346</v>
      </c>
      <c r="D602" s="49" t="s">
        <v>13</v>
      </c>
      <c r="E602" s="49" t="s">
        <v>291</v>
      </c>
      <c r="F602" s="49" t="s">
        <v>59</v>
      </c>
      <c r="G602" s="49" t="s">
        <v>16</v>
      </c>
      <c r="H602" s="11">
        <v>25791</v>
      </c>
      <c r="I602" s="11" t="s">
        <v>17</v>
      </c>
      <c r="J602" s="49" t="s">
        <v>18</v>
      </c>
      <c r="K602" s="50">
        <v>9.9</v>
      </c>
      <c r="L602" s="51">
        <f ca="1">TRUNC((TODAY()-tBase[[#This Row],[Data Nascimento]])/365)</f>
        <v>55</v>
      </c>
      <c r="M602" s="49" t="str">
        <f ca="1">HLOOKUP(tBase[[#This Row],[Idade]],$P$7:$S$8,2,TRUE)</f>
        <v>54-70</v>
      </c>
    </row>
    <row r="603" spans="2:13">
      <c r="B603" s="48">
        <v>30253040173</v>
      </c>
      <c r="C603" s="49" t="s">
        <v>347</v>
      </c>
      <c r="D603" s="49" t="s">
        <v>13</v>
      </c>
      <c r="E603" s="49" t="s">
        <v>291</v>
      </c>
      <c r="F603" s="49" t="s">
        <v>38</v>
      </c>
      <c r="G603" s="49" t="s">
        <v>16</v>
      </c>
      <c r="H603" s="11">
        <v>26406</v>
      </c>
      <c r="I603" s="11" t="s">
        <v>54</v>
      </c>
      <c r="J603" s="49" t="s">
        <v>44</v>
      </c>
      <c r="K603" s="50">
        <v>35.9</v>
      </c>
      <c r="L603" s="51">
        <f ca="1">TRUNC((TODAY()-tBase[[#This Row],[Data Nascimento]])/365)</f>
        <v>53</v>
      </c>
      <c r="M603" s="49" t="str">
        <f ca="1">HLOOKUP(tBase[[#This Row],[Idade]],$P$7:$S$8,2,TRUE)</f>
        <v>44 - 54</v>
      </c>
    </row>
    <row r="604" spans="2:13">
      <c r="B604" s="48">
        <v>86499663957</v>
      </c>
      <c r="C604" s="49" t="s">
        <v>347</v>
      </c>
      <c r="D604" s="49" t="s">
        <v>13</v>
      </c>
      <c r="E604" s="49" t="s">
        <v>291</v>
      </c>
      <c r="F604" s="49" t="s">
        <v>38</v>
      </c>
      <c r="G604" s="49" t="s">
        <v>16</v>
      </c>
      <c r="H604" s="11">
        <v>26710</v>
      </c>
      <c r="I604" s="11" t="s">
        <v>17</v>
      </c>
      <c r="J604" s="49" t="s">
        <v>44</v>
      </c>
      <c r="K604" s="50">
        <v>35.9</v>
      </c>
      <c r="L604" s="51">
        <f ca="1">TRUNC((TODAY()-tBase[[#This Row],[Data Nascimento]])/365)</f>
        <v>53</v>
      </c>
      <c r="M604" s="49" t="str">
        <f ca="1">HLOOKUP(tBase[[#This Row],[Idade]],$P$7:$S$8,2,TRUE)</f>
        <v>44 - 54</v>
      </c>
    </row>
    <row r="605" spans="2:13">
      <c r="B605" s="48">
        <v>49300310285</v>
      </c>
      <c r="C605" s="49" t="s">
        <v>348</v>
      </c>
      <c r="D605" s="49" t="s">
        <v>13</v>
      </c>
      <c r="E605" s="49" t="s">
        <v>291</v>
      </c>
      <c r="F605" s="49" t="s">
        <v>59</v>
      </c>
      <c r="G605" s="49" t="s">
        <v>52</v>
      </c>
      <c r="H605" s="11">
        <v>26262</v>
      </c>
      <c r="I605" s="11" t="s">
        <v>17</v>
      </c>
      <c r="J605" s="49" t="s">
        <v>33</v>
      </c>
      <c r="K605" s="50">
        <v>79.900000000000006</v>
      </c>
      <c r="L605" s="51">
        <f ca="1">TRUNC((TODAY()-tBase[[#This Row],[Data Nascimento]])/365)</f>
        <v>54</v>
      </c>
      <c r="M605" s="49" t="str">
        <f ca="1">HLOOKUP(tBase[[#This Row],[Idade]],$P$7:$S$8,2,TRUE)</f>
        <v>54-70</v>
      </c>
    </row>
    <row r="606" spans="2:13">
      <c r="B606" s="48">
        <v>80307995495</v>
      </c>
      <c r="C606" s="49" t="s">
        <v>348</v>
      </c>
      <c r="D606" s="49" t="s">
        <v>13</v>
      </c>
      <c r="E606" s="49" t="s">
        <v>291</v>
      </c>
      <c r="F606" s="49" t="s">
        <v>59</v>
      </c>
      <c r="G606" s="49" t="s">
        <v>52</v>
      </c>
      <c r="H606" s="11">
        <v>25398</v>
      </c>
      <c r="I606" s="11" t="s">
        <v>72</v>
      </c>
      <c r="J606" s="49" t="s">
        <v>33</v>
      </c>
      <c r="K606" s="50">
        <v>79.900000000000006</v>
      </c>
      <c r="L606" s="51">
        <f ca="1">TRUNC((TODAY()-tBase[[#This Row],[Data Nascimento]])/365)</f>
        <v>56</v>
      </c>
      <c r="M606" s="49" t="str">
        <f ca="1">HLOOKUP(tBase[[#This Row],[Idade]],$P$7:$S$8,2,TRUE)</f>
        <v>54-70</v>
      </c>
    </row>
    <row r="607" spans="2:13">
      <c r="B607" s="48">
        <v>43353453212</v>
      </c>
      <c r="C607" s="49" t="s">
        <v>349</v>
      </c>
      <c r="D607" s="49" t="s">
        <v>13</v>
      </c>
      <c r="E607" s="49" t="s">
        <v>291</v>
      </c>
      <c r="F607" s="49" t="s">
        <v>40</v>
      </c>
      <c r="G607" s="49" t="s">
        <v>32</v>
      </c>
      <c r="H607" s="11">
        <v>21970</v>
      </c>
      <c r="I607" s="11" t="s">
        <v>72</v>
      </c>
      <c r="J607" s="49" t="s">
        <v>18</v>
      </c>
      <c r="K607" s="50">
        <v>9.9</v>
      </c>
      <c r="L607" s="51">
        <f ca="1">TRUNC((TODAY()-tBase[[#This Row],[Data Nascimento]])/365)</f>
        <v>66</v>
      </c>
      <c r="M607" s="49" t="str">
        <f ca="1">HLOOKUP(tBase[[#This Row],[Idade]],$P$7:$S$8,2,TRUE)</f>
        <v>54-70</v>
      </c>
    </row>
    <row r="608" spans="2:13">
      <c r="B608" s="48">
        <v>58438486574</v>
      </c>
      <c r="C608" s="49" t="s">
        <v>349</v>
      </c>
      <c r="D608" s="49" t="s">
        <v>13</v>
      </c>
      <c r="E608" s="49" t="s">
        <v>291</v>
      </c>
      <c r="F608" s="49" t="s">
        <v>40</v>
      </c>
      <c r="G608" s="49" t="s">
        <v>32</v>
      </c>
      <c r="H608" s="11">
        <v>30918</v>
      </c>
      <c r="I608" s="11" t="s">
        <v>17</v>
      </c>
      <c r="J608" s="49" t="s">
        <v>18</v>
      </c>
      <c r="K608" s="50">
        <v>9.9</v>
      </c>
      <c r="L608" s="51">
        <f ca="1">TRUNC((TODAY()-tBase[[#This Row],[Data Nascimento]])/365)</f>
        <v>41</v>
      </c>
      <c r="M608" s="49" t="str">
        <f ca="1">HLOOKUP(tBase[[#This Row],[Idade]],$P$7:$S$8,2,TRUE)</f>
        <v>35 - 44</v>
      </c>
    </row>
    <row r="609" spans="2:13">
      <c r="B609" s="48">
        <v>34020079542</v>
      </c>
      <c r="C609" s="49" t="s">
        <v>350</v>
      </c>
      <c r="D609" s="49" t="s">
        <v>13</v>
      </c>
      <c r="E609" s="49" t="s">
        <v>291</v>
      </c>
      <c r="F609" s="49" t="s">
        <v>38</v>
      </c>
      <c r="G609" s="49" t="s">
        <v>16</v>
      </c>
      <c r="H609" s="11">
        <v>23326</v>
      </c>
      <c r="I609" s="11" t="s">
        <v>19</v>
      </c>
      <c r="J609" s="49" t="s">
        <v>18</v>
      </c>
      <c r="K609" s="50">
        <v>9.9</v>
      </c>
      <c r="L609" s="51">
        <f ca="1">TRUNC((TODAY()-tBase[[#This Row],[Data Nascimento]])/365)</f>
        <v>62</v>
      </c>
      <c r="M609" s="49" t="str">
        <f ca="1">HLOOKUP(tBase[[#This Row],[Idade]],$P$7:$S$8,2,TRUE)</f>
        <v>54-70</v>
      </c>
    </row>
    <row r="610" spans="2:13">
      <c r="B610" s="48">
        <v>88285918314</v>
      </c>
      <c r="C610" s="49" t="s">
        <v>350</v>
      </c>
      <c r="D610" s="49" t="s">
        <v>13</v>
      </c>
      <c r="E610" s="49" t="s">
        <v>291</v>
      </c>
      <c r="F610" s="49" t="s">
        <v>38</v>
      </c>
      <c r="G610" s="49" t="s">
        <v>16</v>
      </c>
      <c r="H610" s="11">
        <v>32585</v>
      </c>
      <c r="I610" s="11" t="s">
        <v>17</v>
      </c>
      <c r="J610" s="49" t="s">
        <v>18</v>
      </c>
      <c r="K610" s="50">
        <v>9.9</v>
      </c>
      <c r="L610" s="51">
        <f ca="1">TRUNC((TODAY()-tBase[[#This Row],[Data Nascimento]])/365)</f>
        <v>37</v>
      </c>
      <c r="M610" s="49" t="str">
        <f ca="1">HLOOKUP(tBase[[#This Row],[Idade]],$P$7:$S$8,2,TRUE)</f>
        <v>35 - 44</v>
      </c>
    </row>
    <row r="611" spans="2:13">
      <c r="B611" s="48">
        <v>41852635544</v>
      </c>
      <c r="C611" s="49" t="s">
        <v>351</v>
      </c>
      <c r="D611" s="49" t="s">
        <v>13</v>
      </c>
      <c r="E611" s="49" t="s">
        <v>291</v>
      </c>
      <c r="F611" s="49" t="s">
        <v>38</v>
      </c>
      <c r="G611" s="49" t="s">
        <v>52</v>
      </c>
      <c r="H611" s="11">
        <v>29505</v>
      </c>
      <c r="I611" s="11" t="s">
        <v>19</v>
      </c>
      <c r="J611" s="49" t="s">
        <v>44</v>
      </c>
      <c r="K611" s="50">
        <v>35.9</v>
      </c>
      <c r="L611" s="51">
        <f ca="1">TRUNC((TODAY()-tBase[[#This Row],[Data Nascimento]])/365)</f>
        <v>45</v>
      </c>
      <c r="M611" s="49" t="str">
        <f ca="1">HLOOKUP(tBase[[#This Row],[Idade]],$P$7:$S$8,2,TRUE)</f>
        <v>44 - 54</v>
      </c>
    </row>
    <row r="612" spans="2:13">
      <c r="B612" s="48">
        <v>86054892010</v>
      </c>
      <c r="C612" s="49" t="s">
        <v>351</v>
      </c>
      <c r="D612" s="49" t="s">
        <v>13</v>
      </c>
      <c r="E612" s="49" t="s">
        <v>291</v>
      </c>
      <c r="F612" s="49" t="s">
        <v>38</v>
      </c>
      <c r="G612" s="49" t="s">
        <v>52</v>
      </c>
      <c r="H612" s="11">
        <v>30942</v>
      </c>
      <c r="I612" s="11" t="s">
        <v>17</v>
      </c>
      <c r="J612" s="49" t="s">
        <v>44</v>
      </c>
      <c r="K612" s="50">
        <v>35.9</v>
      </c>
      <c r="L612" s="51">
        <f ca="1">TRUNC((TODAY()-tBase[[#This Row],[Data Nascimento]])/365)</f>
        <v>41</v>
      </c>
      <c r="M612" s="49" t="str">
        <f ca="1">HLOOKUP(tBase[[#This Row],[Idade]],$P$7:$S$8,2,TRUE)</f>
        <v>35 - 44</v>
      </c>
    </row>
    <row r="613" spans="2:13">
      <c r="B613" s="48">
        <v>41701732128</v>
      </c>
      <c r="C613" s="49" t="s">
        <v>352</v>
      </c>
      <c r="D613" s="49" t="s">
        <v>13</v>
      </c>
      <c r="E613" s="49" t="s">
        <v>291</v>
      </c>
      <c r="F613" s="49" t="s">
        <v>15</v>
      </c>
      <c r="G613" s="49" t="s">
        <v>16</v>
      </c>
      <c r="H613" s="11">
        <v>34194</v>
      </c>
      <c r="I613" s="11" t="s">
        <v>17</v>
      </c>
      <c r="J613" s="49" t="s">
        <v>18</v>
      </c>
      <c r="K613" s="50">
        <v>9.9</v>
      </c>
      <c r="L613" s="51">
        <f ca="1">TRUNC((TODAY()-tBase[[#This Row],[Data Nascimento]])/365)</f>
        <v>32</v>
      </c>
      <c r="M613" s="49" t="str">
        <f ca="1">HLOOKUP(tBase[[#This Row],[Idade]],$P$7:$S$8,2,TRUE)</f>
        <v>24-34</v>
      </c>
    </row>
    <row r="614" spans="2:13">
      <c r="B614" s="48">
        <v>53620445355</v>
      </c>
      <c r="C614" s="49" t="s">
        <v>352</v>
      </c>
      <c r="D614" s="49" t="s">
        <v>13</v>
      </c>
      <c r="E614" s="49" t="s">
        <v>291</v>
      </c>
      <c r="F614" s="49" t="s">
        <v>15</v>
      </c>
      <c r="G614" s="49" t="s">
        <v>16</v>
      </c>
      <c r="H614" s="11">
        <v>21797</v>
      </c>
      <c r="I614" s="11" t="s">
        <v>17</v>
      </c>
      <c r="J614" s="49" t="s">
        <v>18</v>
      </c>
      <c r="K614" s="50">
        <v>9.9</v>
      </c>
      <c r="L614" s="51">
        <f ca="1">TRUNC((TODAY()-tBase[[#This Row],[Data Nascimento]])/365)</f>
        <v>66</v>
      </c>
      <c r="M614" s="49" t="str">
        <f ca="1">HLOOKUP(tBase[[#This Row],[Idade]],$P$7:$S$8,2,TRUE)</f>
        <v>54-70</v>
      </c>
    </row>
    <row r="615" spans="2:13">
      <c r="B615" s="48">
        <v>54476634976</v>
      </c>
      <c r="C615" s="49" t="s">
        <v>353</v>
      </c>
      <c r="D615" s="49" t="s">
        <v>13</v>
      </c>
      <c r="E615" s="49" t="s">
        <v>291</v>
      </c>
      <c r="F615" s="49" t="s">
        <v>62</v>
      </c>
      <c r="G615" s="49" t="s">
        <v>52</v>
      </c>
      <c r="H615" s="11">
        <v>30335</v>
      </c>
      <c r="I615" s="11" t="s">
        <v>46</v>
      </c>
      <c r="J615" s="49" t="s">
        <v>41</v>
      </c>
      <c r="K615" s="50">
        <v>29.9</v>
      </c>
      <c r="L615" s="51">
        <f ca="1">TRUNC((TODAY()-tBase[[#This Row],[Data Nascimento]])/365)</f>
        <v>43</v>
      </c>
      <c r="M615" s="49" t="str">
        <f ca="1">HLOOKUP(tBase[[#This Row],[Idade]],$P$7:$S$8,2,TRUE)</f>
        <v>35 - 44</v>
      </c>
    </row>
    <row r="616" spans="2:13">
      <c r="B616" s="48">
        <v>64709618097</v>
      </c>
      <c r="C616" s="49" t="s">
        <v>353</v>
      </c>
      <c r="D616" s="49" t="s">
        <v>13</v>
      </c>
      <c r="E616" s="49" t="s">
        <v>291</v>
      </c>
      <c r="F616" s="49" t="s">
        <v>62</v>
      </c>
      <c r="G616" s="49" t="s">
        <v>52</v>
      </c>
      <c r="H616" s="11">
        <v>24019</v>
      </c>
      <c r="I616" s="11" t="s">
        <v>17</v>
      </c>
      <c r="J616" s="49" t="s">
        <v>41</v>
      </c>
      <c r="K616" s="50">
        <v>29.9</v>
      </c>
      <c r="L616" s="51">
        <f ca="1">TRUNC((TODAY()-tBase[[#This Row],[Data Nascimento]])/365)</f>
        <v>60</v>
      </c>
      <c r="M616" s="49" t="str">
        <f ca="1">HLOOKUP(tBase[[#This Row],[Idade]],$P$7:$S$8,2,TRUE)</f>
        <v>54-70</v>
      </c>
    </row>
    <row r="617" spans="2:13">
      <c r="B617" s="48">
        <v>47153877700</v>
      </c>
      <c r="C617" s="49" t="s">
        <v>354</v>
      </c>
      <c r="D617" s="49" t="s">
        <v>13</v>
      </c>
      <c r="E617" s="49" t="s">
        <v>291</v>
      </c>
      <c r="F617" s="49" t="s">
        <v>38</v>
      </c>
      <c r="G617" s="49" t="s">
        <v>16</v>
      </c>
      <c r="H617" s="11">
        <v>28772</v>
      </c>
      <c r="I617" s="11" t="s">
        <v>17</v>
      </c>
      <c r="J617" s="49" t="s">
        <v>44</v>
      </c>
      <c r="K617" s="50">
        <v>35.9</v>
      </c>
      <c r="L617" s="51">
        <f ca="1">TRUNC((TODAY()-tBase[[#This Row],[Data Nascimento]])/365)</f>
        <v>47</v>
      </c>
      <c r="M617" s="49" t="str">
        <f ca="1">HLOOKUP(tBase[[#This Row],[Idade]],$P$7:$S$8,2,TRUE)</f>
        <v>44 - 54</v>
      </c>
    </row>
    <row r="618" spans="2:13">
      <c r="B618" s="48">
        <v>47188953731</v>
      </c>
      <c r="C618" s="49" t="s">
        <v>354</v>
      </c>
      <c r="D618" s="49" t="s">
        <v>13</v>
      </c>
      <c r="E618" s="49" t="s">
        <v>291</v>
      </c>
      <c r="F618" s="49" t="s">
        <v>38</v>
      </c>
      <c r="G618" s="49" t="s">
        <v>16</v>
      </c>
      <c r="H618" s="11">
        <v>29434</v>
      </c>
      <c r="I618" s="11" t="s">
        <v>17</v>
      </c>
      <c r="J618" s="49" t="s">
        <v>44</v>
      </c>
      <c r="K618" s="50">
        <v>35.9</v>
      </c>
      <c r="L618" s="51">
        <f ca="1">TRUNC((TODAY()-tBase[[#This Row],[Data Nascimento]])/365)</f>
        <v>45</v>
      </c>
      <c r="M618" s="49" t="str">
        <f ca="1">HLOOKUP(tBase[[#This Row],[Idade]],$P$7:$S$8,2,TRUE)</f>
        <v>44 - 54</v>
      </c>
    </row>
    <row r="619" spans="2:13">
      <c r="B619" s="48">
        <v>33247836129</v>
      </c>
      <c r="C619" s="49" t="s">
        <v>355</v>
      </c>
      <c r="D619" s="49" t="s">
        <v>13</v>
      </c>
      <c r="E619" s="49" t="s">
        <v>291</v>
      </c>
      <c r="F619" s="49" t="s">
        <v>38</v>
      </c>
      <c r="G619" s="49" t="s">
        <v>16</v>
      </c>
      <c r="H619" s="11">
        <v>34988</v>
      </c>
      <c r="I619" s="11" t="s">
        <v>17</v>
      </c>
      <c r="J619" s="49" t="s">
        <v>18</v>
      </c>
      <c r="K619" s="50">
        <v>9.9</v>
      </c>
      <c r="L619" s="51">
        <f ca="1">TRUNC((TODAY()-tBase[[#This Row],[Data Nascimento]])/365)</f>
        <v>30</v>
      </c>
      <c r="M619" s="49" t="str">
        <f ca="1">HLOOKUP(tBase[[#This Row],[Idade]],$P$7:$S$8,2,TRUE)</f>
        <v>24-34</v>
      </c>
    </row>
    <row r="620" spans="2:13">
      <c r="B620" s="48">
        <v>71237243348</v>
      </c>
      <c r="C620" s="49" t="s">
        <v>355</v>
      </c>
      <c r="D620" s="49" t="s">
        <v>13</v>
      </c>
      <c r="E620" s="49" t="s">
        <v>291</v>
      </c>
      <c r="F620" s="49" t="s">
        <v>38</v>
      </c>
      <c r="G620" s="49" t="s">
        <v>16</v>
      </c>
      <c r="H620" s="11">
        <v>31235</v>
      </c>
      <c r="I620" s="11" t="s">
        <v>17</v>
      </c>
      <c r="J620" s="49" t="s">
        <v>18</v>
      </c>
      <c r="K620" s="50">
        <v>9.9</v>
      </c>
      <c r="L620" s="51">
        <f ca="1">TRUNC((TODAY()-tBase[[#This Row],[Data Nascimento]])/365)</f>
        <v>40</v>
      </c>
      <c r="M620" s="49" t="str">
        <f ca="1">HLOOKUP(tBase[[#This Row],[Idade]],$P$7:$S$8,2,TRUE)</f>
        <v>35 - 44</v>
      </c>
    </row>
    <row r="621" spans="2:13">
      <c r="B621" s="48">
        <v>30890249713</v>
      </c>
      <c r="C621" s="49" t="s">
        <v>356</v>
      </c>
      <c r="D621" s="49" t="s">
        <v>43</v>
      </c>
      <c r="E621" s="49" t="s">
        <v>291</v>
      </c>
      <c r="F621" s="49" t="s">
        <v>38</v>
      </c>
      <c r="G621" s="49" t="s">
        <v>52</v>
      </c>
      <c r="H621" s="11">
        <v>31664</v>
      </c>
      <c r="I621" s="11" t="s">
        <v>17</v>
      </c>
      <c r="J621" s="49" t="s">
        <v>44</v>
      </c>
      <c r="K621" s="50">
        <v>35.9</v>
      </c>
      <c r="L621" s="51">
        <f ca="1">TRUNC((TODAY()-tBase[[#This Row],[Data Nascimento]])/365)</f>
        <v>39</v>
      </c>
      <c r="M621" s="49" t="str">
        <f ca="1">HLOOKUP(tBase[[#This Row],[Idade]],$P$7:$S$8,2,TRUE)</f>
        <v>35 - 44</v>
      </c>
    </row>
    <row r="622" spans="2:13">
      <c r="B622" s="48">
        <v>59017936332</v>
      </c>
      <c r="C622" s="49" t="s">
        <v>356</v>
      </c>
      <c r="D622" s="49" t="s">
        <v>43</v>
      </c>
      <c r="E622" s="49" t="s">
        <v>291</v>
      </c>
      <c r="F622" s="49" t="s">
        <v>38</v>
      </c>
      <c r="G622" s="49" t="s">
        <v>52</v>
      </c>
      <c r="H622" s="11">
        <v>27622</v>
      </c>
      <c r="I622" s="11" t="s">
        <v>19</v>
      </c>
      <c r="J622" s="49" t="s">
        <v>44</v>
      </c>
      <c r="K622" s="50">
        <v>35.9</v>
      </c>
      <c r="L622" s="51">
        <f ca="1">TRUNC((TODAY()-tBase[[#This Row],[Data Nascimento]])/365)</f>
        <v>50</v>
      </c>
      <c r="M622" s="49" t="str">
        <f ca="1">HLOOKUP(tBase[[#This Row],[Idade]],$P$7:$S$8,2,TRUE)</f>
        <v>44 - 54</v>
      </c>
    </row>
    <row r="623" spans="2:13">
      <c r="B623" s="48">
        <v>37057811668</v>
      </c>
      <c r="C623" s="49" t="s">
        <v>357</v>
      </c>
      <c r="D623" s="49" t="s">
        <v>43</v>
      </c>
      <c r="E623" s="49" t="s">
        <v>291</v>
      </c>
      <c r="F623" s="49" t="s">
        <v>38</v>
      </c>
      <c r="G623" s="49" t="s">
        <v>52</v>
      </c>
      <c r="H623" s="11">
        <v>32635</v>
      </c>
      <c r="I623" s="11" t="s">
        <v>17</v>
      </c>
      <c r="J623" s="49" t="s">
        <v>18</v>
      </c>
      <c r="K623" s="50">
        <v>9.9</v>
      </c>
      <c r="L623" s="51">
        <f ca="1">TRUNC((TODAY()-tBase[[#This Row],[Data Nascimento]])/365)</f>
        <v>36</v>
      </c>
      <c r="M623" s="49" t="str">
        <f ca="1">HLOOKUP(tBase[[#This Row],[Idade]],$P$7:$S$8,2,TRUE)</f>
        <v>35 - 44</v>
      </c>
    </row>
    <row r="624" spans="2:13">
      <c r="B624" s="48">
        <v>38016517517</v>
      </c>
      <c r="C624" s="49" t="s">
        <v>357</v>
      </c>
      <c r="D624" s="49" t="s">
        <v>43</v>
      </c>
      <c r="E624" s="49" t="s">
        <v>291</v>
      </c>
      <c r="F624" s="49" t="s">
        <v>38</v>
      </c>
      <c r="G624" s="49" t="s">
        <v>52</v>
      </c>
      <c r="H624" s="11">
        <v>27316</v>
      </c>
      <c r="I624" s="11" t="s">
        <v>19</v>
      </c>
      <c r="J624" s="49" t="s">
        <v>18</v>
      </c>
      <c r="K624" s="50">
        <v>9.9</v>
      </c>
      <c r="L624" s="51">
        <f ca="1">TRUNC((TODAY()-tBase[[#This Row],[Data Nascimento]])/365)</f>
        <v>51</v>
      </c>
      <c r="M624" s="49" t="str">
        <f ca="1">HLOOKUP(tBase[[#This Row],[Idade]],$P$7:$S$8,2,TRUE)</f>
        <v>44 - 54</v>
      </c>
    </row>
    <row r="625" spans="2:13">
      <c r="B625" s="48">
        <v>37769893799</v>
      </c>
      <c r="C625" s="49" t="s">
        <v>358</v>
      </c>
      <c r="D625" s="49" t="s">
        <v>43</v>
      </c>
      <c r="E625" s="49" t="s">
        <v>291</v>
      </c>
      <c r="F625" s="49" t="s">
        <v>40</v>
      </c>
      <c r="G625" s="49" t="s">
        <v>32</v>
      </c>
      <c r="H625" s="11">
        <v>22161</v>
      </c>
      <c r="I625" s="11" t="s">
        <v>17</v>
      </c>
      <c r="J625" s="49" t="s">
        <v>41</v>
      </c>
      <c r="K625" s="50">
        <v>29.9</v>
      </c>
      <c r="L625" s="51">
        <f ca="1">TRUNC((TODAY()-tBase[[#This Row],[Data Nascimento]])/365)</f>
        <v>65</v>
      </c>
      <c r="M625" s="49" t="str">
        <f ca="1">HLOOKUP(tBase[[#This Row],[Idade]],$P$7:$S$8,2,TRUE)</f>
        <v>54-70</v>
      </c>
    </row>
    <row r="626" spans="2:13">
      <c r="B626" s="48">
        <v>52113552792</v>
      </c>
      <c r="C626" s="49" t="s">
        <v>358</v>
      </c>
      <c r="D626" s="49" t="s">
        <v>43</v>
      </c>
      <c r="E626" s="49" t="s">
        <v>291</v>
      </c>
      <c r="F626" s="49" t="s">
        <v>40</v>
      </c>
      <c r="G626" s="49" t="s">
        <v>32</v>
      </c>
      <c r="H626" s="11">
        <v>23217</v>
      </c>
      <c r="I626" s="11" t="s">
        <v>24</v>
      </c>
      <c r="J626" s="49" t="s">
        <v>41</v>
      </c>
      <c r="K626" s="50">
        <v>29.9</v>
      </c>
      <c r="L626" s="51">
        <f ca="1">TRUNC((TODAY()-tBase[[#This Row],[Data Nascimento]])/365)</f>
        <v>62</v>
      </c>
      <c r="M626" s="49" t="str">
        <f ca="1">HLOOKUP(tBase[[#This Row],[Idade]],$P$7:$S$8,2,TRUE)</f>
        <v>54-70</v>
      </c>
    </row>
    <row r="627" spans="2:13">
      <c r="B627" s="48">
        <v>33353271839</v>
      </c>
      <c r="C627" s="49" t="s">
        <v>359</v>
      </c>
      <c r="D627" s="49" t="s">
        <v>43</v>
      </c>
      <c r="E627" s="49" t="s">
        <v>291</v>
      </c>
      <c r="F627" s="49" t="s">
        <v>38</v>
      </c>
      <c r="G627" s="49" t="s">
        <v>16</v>
      </c>
      <c r="H627" s="11">
        <v>20397</v>
      </c>
      <c r="I627" s="11" t="s">
        <v>17</v>
      </c>
      <c r="J627" s="49" t="s">
        <v>44</v>
      </c>
      <c r="K627" s="50">
        <v>35.9</v>
      </c>
      <c r="L627" s="51">
        <f ca="1">TRUNC((TODAY()-tBase[[#This Row],[Data Nascimento]])/365)</f>
        <v>70</v>
      </c>
      <c r="M627" s="49" t="str">
        <f ca="1">HLOOKUP(tBase[[#This Row],[Idade]],$P$7:$S$8,2,TRUE)</f>
        <v>54-70</v>
      </c>
    </row>
    <row r="628" spans="2:13">
      <c r="B628" s="48">
        <v>46483232083</v>
      </c>
      <c r="C628" s="49" t="s">
        <v>359</v>
      </c>
      <c r="D628" s="49" t="s">
        <v>43</v>
      </c>
      <c r="E628" s="49" t="s">
        <v>291</v>
      </c>
      <c r="F628" s="49" t="s">
        <v>38</v>
      </c>
      <c r="G628" s="49" t="s">
        <v>16</v>
      </c>
      <c r="H628" s="11">
        <v>25253</v>
      </c>
      <c r="I628" s="11" t="s">
        <v>17</v>
      </c>
      <c r="J628" s="49" t="s">
        <v>44</v>
      </c>
      <c r="K628" s="50">
        <v>35.9</v>
      </c>
      <c r="L628" s="51">
        <f ca="1">TRUNC((TODAY()-tBase[[#This Row],[Data Nascimento]])/365)</f>
        <v>57</v>
      </c>
      <c r="M628" s="49" t="str">
        <f ca="1">HLOOKUP(tBase[[#This Row],[Idade]],$P$7:$S$8,2,TRUE)</f>
        <v>54-70</v>
      </c>
    </row>
    <row r="629" spans="2:13">
      <c r="B629" s="48">
        <v>36909199882</v>
      </c>
      <c r="C629" s="49" t="s">
        <v>193</v>
      </c>
      <c r="D629" s="49" t="s">
        <v>43</v>
      </c>
      <c r="E629" s="49" t="s">
        <v>291</v>
      </c>
      <c r="F629" s="49" t="s">
        <v>40</v>
      </c>
      <c r="G629" s="49" t="s">
        <v>32</v>
      </c>
      <c r="H629" s="11">
        <v>29807</v>
      </c>
      <c r="I629" s="11" t="s">
        <v>46</v>
      </c>
      <c r="J629" s="49" t="s">
        <v>41</v>
      </c>
      <c r="K629" s="50">
        <v>29.9</v>
      </c>
      <c r="L629" s="51">
        <f ca="1">TRUNC((TODAY()-tBase[[#This Row],[Data Nascimento]])/365)</f>
        <v>44</v>
      </c>
      <c r="M629" s="49" t="str">
        <f ca="1">HLOOKUP(tBase[[#This Row],[Idade]],$P$7:$S$8,2,TRUE)</f>
        <v>44 - 54</v>
      </c>
    </row>
    <row r="630" spans="2:13">
      <c r="B630" s="48">
        <v>51918800636</v>
      </c>
      <c r="C630" s="49" t="s">
        <v>360</v>
      </c>
      <c r="D630" s="49" t="s">
        <v>43</v>
      </c>
      <c r="E630" s="49" t="s">
        <v>291</v>
      </c>
      <c r="F630" s="49" t="s">
        <v>38</v>
      </c>
      <c r="G630" s="49" t="s">
        <v>16</v>
      </c>
      <c r="H630" s="11">
        <v>21278</v>
      </c>
      <c r="I630" s="11" t="s">
        <v>17</v>
      </c>
      <c r="J630" s="49" t="s">
        <v>44</v>
      </c>
      <c r="K630" s="50">
        <v>35.9</v>
      </c>
      <c r="L630" s="51">
        <f ca="1">TRUNC((TODAY()-tBase[[#This Row],[Data Nascimento]])/365)</f>
        <v>68</v>
      </c>
      <c r="M630" s="49" t="str">
        <f ca="1">HLOOKUP(tBase[[#This Row],[Idade]],$P$7:$S$8,2,TRUE)</f>
        <v>54-70</v>
      </c>
    </row>
    <row r="631" spans="2:13">
      <c r="B631" s="48">
        <v>52822338787</v>
      </c>
      <c r="C631" s="49" t="s">
        <v>360</v>
      </c>
      <c r="D631" s="49" t="s">
        <v>43</v>
      </c>
      <c r="E631" s="49" t="s">
        <v>291</v>
      </c>
      <c r="F631" s="49" t="s">
        <v>38</v>
      </c>
      <c r="G631" s="49" t="s">
        <v>16</v>
      </c>
      <c r="H631" s="11">
        <v>28036</v>
      </c>
      <c r="I631" s="11" t="s">
        <v>17</v>
      </c>
      <c r="J631" s="49" t="s">
        <v>44</v>
      </c>
      <c r="K631" s="50">
        <v>35.9</v>
      </c>
      <c r="L631" s="51">
        <f ca="1">TRUNC((TODAY()-tBase[[#This Row],[Data Nascimento]])/365)</f>
        <v>49</v>
      </c>
      <c r="M631" s="49" t="str">
        <f ca="1">HLOOKUP(tBase[[#This Row],[Idade]],$P$7:$S$8,2,TRUE)</f>
        <v>44 - 54</v>
      </c>
    </row>
    <row r="632" spans="2:13">
      <c r="B632" s="48">
        <v>47745382527</v>
      </c>
      <c r="C632" s="49" t="s">
        <v>361</v>
      </c>
      <c r="D632" s="49" t="s">
        <v>43</v>
      </c>
      <c r="E632" s="49" t="s">
        <v>291</v>
      </c>
      <c r="F632" s="49" t="s">
        <v>15</v>
      </c>
      <c r="G632" s="49" t="s">
        <v>16</v>
      </c>
      <c r="H632" s="11">
        <v>32073</v>
      </c>
      <c r="I632" s="11" t="s">
        <v>19</v>
      </c>
      <c r="J632" s="49" t="s">
        <v>18</v>
      </c>
      <c r="K632" s="50">
        <v>9.9</v>
      </c>
      <c r="L632" s="51">
        <f ca="1">TRUNC((TODAY()-tBase[[#This Row],[Data Nascimento]])/365)</f>
        <v>38</v>
      </c>
      <c r="M632" s="49" t="str">
        <f ca="1">HLOOKUP(tBase[[#This Row],[Idade]],$P$7:$S$8,2,TRUE)</f>
        <v>35 - 44</v>
      </c>
    </row>
    <row r="633" spans="2:13">
      <c r="B633" s="48">
        <v>72680945462</v>
      </c>
      <c r="C633" s="49" t="s">
        <v>361</v>
      </c>
      <c r="D633" s="49" t="s">
        <v>43</v>
      </c>
      <c r="E633" s="49" t="s">
        <v>291</v>
      </c>
      <c r="F633" s="49" t="s">
        <v>15</v>
      </c>
      <c r="G633" s="49" t="s">
        <v>16</v>
      </c>
      <c r="H633" s="11">
        <v>33338</v>
      </c>
      <c r="I633" s="11" t="s">
        <v>46</v>
      </c>
      <c r="J633" s="49" t="s">
        <v>18</v>
      </c>
      <c r="K633" s="50">
        <v>9.9</v>
      </c>
      <c r="L633" s="51">
        <f ca="1">TRUNC((TODAY()-tBase[[#This Row],[Data Nascimento]])/365)</f>
        <v>34</v>
      </c>
      <c r="M633" s="49" t="str">
        <f ca="1">HLOOKUP(tBase[[#This Row],[Idade]],$P$7:$S$8,2,TRUE)</f>
        <v>24-34</v>
      </c>
    </row>
    <row r="634" spans="2:13">
      <c r="B634" s="48">
        <v>52194876240</v>
      </c>
      <c r="C634" s="49" t="s">
        <v>362</v>
      </c>
      <c r="D634" s="49" t="s">
        <v>43</v>
      </c>
      <c r="E634" s="49" t="s">
        <v>291</v>
      </c>
      <c r="F634" s="49" t="s">
        <v>38</v>
      </c>
      <c r="G634" s="49" t="s">
        <v>16</v>
      </c>
      <c r="H634" s="11">
        <v>33341</v>
      </c>
      <c r="I634" s="11" t="s">
        <v>21</v>
      </c>
      <c r="J634" s="49" t="s">
        <v>44</v>
      </c>
      <c r="K634" s="50">
        <v>35.9</v>
      </c>
      <c r="L634" s="51">
        <f ca="1">TRUNC((TODAY()-tBase[[#This Row],[Data Nascimento]])/365)</f>
        <v>34</v>
      </c>
      <c r="M634" s="49" t="str">
        <f ca="1">HLOOKUP(tBase[[#This Row],[Idade]],$P$7:$S$8,2,TRUE)</f>
        <v>24-34</v>
      </c>
    </row>
    <row r="635" spans="2:13">
      <c r="B635" s="48">
        <v>83052449006</v>
      </c>
      <c r="C635" s="49" t="s">
        <v>362</v>
      </c>
      <c r="D635" s="49" t="s">
        <v>43</v>
      </c>
      <c r="E635" s="49" t="s">
        <v>291</v>
      </c>
      <c r="F635" s="49" t="s">
        <v>38</v>
      </c>
      <c r="G635" s="49" t="s">
        <v>16</v>
      </c>
      <c r="H635" s="11">
        <v>22607</v>
      </c>
      <c r="I635" s="11" t="s">
        <v>19</v>
      </c>
      <c r="J635" s="49" t="s">
        <v>44</v>
      </c>
      <c r="K635" s="50">
        <v>35.9</v>
      </c>
      <c r="L635" s="51">
        <f ca="1">TRUNC((TODAY()-tBase[[#This Row],[Data Nascimento]])/365)</f>
        <v>64</v>
      </c>
      <c r="M635" s="49" t="str">
        <f ca="1">HLOOKUP(tBase[[#This Row],[Idade]],$P$7:$S$8,2,TRUE)</f>
        <v>54-70</v>
      </c>
    </row>
    <row r="636" spans="2:13">
      <c r="B636" s="48">
        <v>49708771068</v>
      </c>
      <c r="C636" s="49" t="s">
        <v>363</v>
      </c>
      <c r="D636" s="49" t="s">
        <v>43</v>
      </c>
      <c r="E636" s="49" t="s">
        <v>291</v>
      </c>
      <c r="F636" s="49" t="s">
        <v>15</v>
      </c>
      <c r="G636" s="49" t="s">
        <v>32</v>
      </c>
      <c r="H636" s="11">
        <v>29978</v>
      </c>
      <c r="I636" s="11" t="s">
        <v>46</v>
      </c>
      <c r="J636" s="49" t="s">
        <v>18</v>
      </c>
      <c r="K636" s="50">
        <v>9.9</v>
      </c>
      <c r="L636" s="51">
        <f ca="1">TRUNC((TODAY()-tBase[[#This Row],[Data Nascimento]])/365)</f>
        <v>44</v>
      </c>
      <c r="M636" s="49" t="str">
        <f ca="1">HLOOKUP(tBase[[#This Row],[Idade]],$P$7:$S$8,2,TRUE)</f>
        <v>44 - 54</v>
      </c>
    </row>
    <row r="637" spans="2:13">
      <c r="B637" s="48">
        <v>98413368768</v>
      </c>
      <c r="C637" s="49" t="s">
        <v>363</v>
      </c>
      <c r="D637" s="49" t="s">
        <v>43</v>
      </c>
      <c r="E637" s="49" t="s">
        <v>291</v>
      </c>
      <c r="F637" s="49" t="s">
        <v>15</v>
      </c>
      <c r="G637" s="49" t="s">
        <v>32</v>
      </c>
      <c r="H637" s="11">
        <v>34629</v>
      </c>
      <c r="I637" s="11" t="s">
        <v>19</v>
      </c>
      <c r="J637" s="49" t="s">
        <v>18</v>
      </c>
      <c r="K637" s="50">
        <v>9.9</v>
      </c>
      <c r="L637" s="51">
        <f ca="1">TRUNC((TODAY()-tBase[[#This Row],[Data Nascimento]])/365)</f>
        <v>31</v>
      </c>
      <c r="M637" s="49" t="str">
        <f ca="1">HLOOKUP(tBase[[#This Row],[Idade]],$P$7:$S$8,2,TRUE)</f>
        <v>24-34</v>
      </c>
    </row>
    <row r="638" spans="2:13">
      <c r="B638" s="48">
        <v>29324777441</v>
      </c>
      <c r="C638" s="49" t="s">
        <v>364</v>
      </c>
      <c r="D638" s="49" t="s">
        <v>43</v>
      </c>
      <c r="E638" s="49" t="s">
        <v>291</v>
      </c>
      <c r="F638" s="49" t="s">
        <v>38</v>
      </c>
      <c r="G638" s="49" t="s">
        <v>52</v>
      </c>
      <c r="H638" s="11">
        <v>25012</v>
      </c>
      <c r="I638" s="11" t="s">
        <v>19</v>
      </c>
      <c r="J638" s="49" t="s">
        <v>18</v>
      </c>
      <c r="K638" s="50">
        <v>9.9</v>
      </c>
      <c r="L638" s="51">
        <f ca="1">TRUNC((TODAY()-tBase[[#This Row],[Data Nascimento]])/365)</f>
        <v>57</v>
      </c>
      <c r="M638" s="49" t="str">
        <f ca="1">HLOOKUP(tBase[[#This Row],[Idade]],$P$7:$S$8,2,TRUE)</f>
        <v>54-70</v>
      </c>
    </row>
    <row r="639" spans="2:13">
      <c r="B639" s="48">
        <v>76661469865</v>
      </c>
      <c r="C639" s="49" t="s">
        <v>364</v>
      </c>
      <c r="D639" s="49" t="s">
        <v>43</v>
      </c>
      <c r="E639" s="49" t="s">
        <v>291</v>
      </c>
      <c r="F639" s="49" t="s">
        <v>38</v>
      </c>
      <c r="G639" s="49" t="s">
        <v>52</v>
      </c>
      <c r="H639" s="11">
        <v>34571</v>
      </c>
      <c r="I639" s="11" t="s">
        <v>17</v>
      </c>
      <c r="J639" s="49" t="s">
        <v>18</v>
      </c>
      <c r="K639" s="50">
        <v>9.9</v>
      </c>
      <c r="L639" s="51">
        <f ca="1">TRUNC((TODAY()-tBase[[#This Row],[Data Nascimento]])/365)</f>
        <v>31</v>
      </c>
      <c r="M639" s="49" t="str">
        <f ca="1">HLOOKUP(tBase[[#This Row],[Idade]],$P$7:$S$8,2,TRUE)</f>
        <v>24-34</v>
      </c>
    </row>
    <row r="640" spans="2:13">
      <c r="B640" s="48">
        <v>38500617594</v>
      </c>
      <c r="C640" s="49" t="s">
        <v>365</v>
      </c>
      <c r="D640" s="49" t="s">
        <v>43</v>
      </c>
      <c r="E640" s="49" t="s">
        <v>291</v>
      </c>
      <c r="F640" s="49" t="s">
        <v>31</v>
      </c>
      <c r="G640" s="49" t="s">
        <v>32</v>
      </c>
      <c r="H640" s="11">
        <v>32533</v>
      </c>
      <c r="I640" s="11" t="s">
        <v>72</v>
      </c>
      <c r="J640" s="49" t="s">
        <v>33</v>
      </c>
      <c r="K640" s="50">
        <v>79.900000000000006</v>
      </c>
      <c r="L640" s="51">
        <f ca="1">TRUNC((TODAY()-tBase[[#This Row],[Data Nascimento]])/365)</f>
        <v>37</v>
      </c>
      <c r="M640" s="49" t="str">
        <f ca="1">HLOOKUP(tBase[[#This Row],[Idade]],$P$7:$S$8,2,TRUE)</f>
        <v>35 - 44</v>
      </c>
    </row>
    <row r="641" spans="2:13">
      <c r="B641" s="48">
        <v>55539019573</v>
      </c>
      <c r="C641" s="49" t="s">
        <v>365</v>
      </c>
      <c r="D641" s="49" t="s">
        <v>43</v>
      </c>
      <c r="E641" s="49" t="s">
        <v>291</v>
      </c>
      <c r="F641" s="49" t="s">
        <v>31</v>
      </c>
      <c r="G641" s="49" t="s">
        <v>32</v>
      </c>
      <c r="H641" s="11">
        <v>32419</v>
      </c>
      <c r="I641" s="11" t="s">
        <v>46</v>
      </c>
      <c r="J641" s="49" t="s">
        <v>33</v>
      </c>
      <c r="K641" s="50">
        <v>79.900000000000006</v>
      </c>
      <c r="L641" s="51">
        <f ca="1">TRUNC((TODAY()-tBase[[#This Row],[Data Nascimento]])/365)</f>
        <v>37</v>
      </c>
      <c r="M641" s="49" t="str">
        <f ca="1">HLOOKUP(tBase[[#This Row],[Idade]],$P$7:$S$8,2,TRUE)</f>
        <v>35 - 44</v>
      </c>
    </row>
    <row r="642" spans="2:13">
      <c r="B642" s="48">
        <v>32373994641</v>
      </c>
      <c r="C642" s="49" t="s">
        <v>366</v>
      </c>
      <c r="D642" s="49" t="s">
        <v>43</v>
      </c>
      <c r="E642" s="49" t="s">
        <v>291</v>
      </c>
      <c r="F642" s="49" t="s">
        <v>38</v>
      </c>
      <c r="G642" s="49" t="s">
        <v>52</v>
      </c>
      <c r="H642" s="11">
        <v>20716</v>
      </c>
      <c r="I642" s="11" t="s">
        <v>54</v>
      </c>
      <c r="J642" s="49" t="s">
        <v>41</v>
      </c>
      <c r="K642" s="50">
        <v>29.9</v>
      </c>
      <c r="L642" s="51">
        <f ca="1">TRUNC((TODAY()-tBase[[#This Row],[Data Nascimento]])/365)</f>
        <v>69</v>
      </c>
      <c r="M642" s="49" t="str">
        <f ca="1">HLOOKUP(tBase[[#This Row],[Idade]],$P$7:$S$8,2,TRUE)</f>
        <v>54-70</v>
      </c>
    </row>
    <row r="643" spans="2:13">
      <c r="B643" s="48">
        <v>44968480072</v>
      </c>
      <c r="C643" s="49" t="s">
        <v>366</v>
      </c>
      <c r="D643" s="49" t="s">
        <v>43</v>
      </c>
      <c r="E643" s="49" t="s">
        <v>291</v>
      </c>
      <c r="F643" s="49" t="s">
        <v>38</v>
      </c>
      <c r="G643" s="49" t="s">
        <v>52</v>
      </c>
      <c r="H643" s="11">
        <v>30279</v>
      </c>
      <c r="I643" s="11" t="s">
        <v>21</v>
      </c>
      <c r="J643" s="49" t="s">
        <v>41</v>
      </c>
      <c r="K643" s="50">
        <v>29.9</v>
      </c>
      <c r="L643" s="51">
        <f ca="1">TRUNC((TODAY()-tBase[[#This Row],[Data Nascimento]])/365)</f>
        <v>43</v>
      </c>
      <c r="M643" s="49" t="str">
        <f ca="1">HLOOKUP(tBase[[#This Row],[Idade]],$P$7:$S$8,2,TRUE)</f>
        <v>35 - 44</v>
      </c>
    </row>
    <row r="644" spans="2:13">
      <c r="B644" s="48">
        <v>30421203942</v>
      </c>
      <c r="C644" s="49" t="s">
        <v>367</v>
      </c>
      <c r="D644" s="49" t="s">
        <v>43</v>
      </c>
      <c r="E644" s="49" t="s">
        <v>291</v>
      </c>
      <c r="F644" s="49" t="s">
        <v>59</v>
      </c>
      <c r="G644" s="49" t="s">
        <v>16</v>
      </c>
      <c r="H644" s="11">
        <v>28977</v>
      </c>
      <c r="I644" s="11" t="s">
        <v>46</v>
      </c>
      <c r="J644" s="49" t="s">
        <v>44</v>
      </c>
      <c r="K644" s="50">
        <v>35.9</v>
      </c>
      <c r="L644" s="51">
        <f ca="1">TRUNC((TODAY()-tBase[[#This Row],[Data Nascimento]])/365)</f>
        <v>46</v>
      </c>
      <c r="M644" s="49" t="str">
        <f ca="1">HLOOKUP(tBase[[#This Row],[Idade]],$P$7:$S$8,2,TRUE)</f>
        <v>44 - 54</v>
      </c>
    </row>
    <row r="645" spans="2:13">
      <c r="B645" s="48">
        <v>75196774664</v>
      </c>
      <c r="C645" s="49" t="s">
        <v>367</v>
      </c>
      <c r="D645" s="49" t="s">
        <v>43</v>
      </c>
      <c r="E645" s="49" t="s">
        <v>291</v>
      </c>
      <c r="F645" s="49" t="s">
        <v>59</v>
      </c>
      <c r="G645" s="49" t="s">
        <v>16</v>
      </c>
      <c r="H645" s="11">
        <v>22207</v>
      </c>
      <c r="I645" s="11" t="s">
        <v>21</v>
      </c>
      <c r="J645" s="49" t="s">
        <v>44</v>
      </c>
      <c r="K645" s="50">
        <v>35.9</v>
      </c>
      <c r="L645" s="51">
        <f ca="1">TRUNC((TODAY()-tBase[[#This Row],[Data Nascimento]])/365)</f>
        <v>65</v>
      </c>
      <c r="M645" s="49" t="str">
        <f ca="1">HLOOKUP(tBase[[#This Row],[Idade]],$P$7:$S$8,2,TRUE)</f>
        <v>54-70</v>
      </c>
    </row>
    <row r="646" spans="2:13">
      <c r="B646" s="48">
        <v>51676477218</v>
      </c>
      <c r="C646" s="49" t="s">
        <v>368</v>
      </c>
      <c r="D646" s="49" t="s">
        <v>43</v>
      </c>
      <c r="E646" s="49" t="s">
        <v>291</v>
      </c>
      <c r="F646" s="49" t="s">
        <v>62</v>
      </c>
      <c r="G646" s="49" t="s">
        <v>16</v>
      </c>
      <c r="H646" s="11">
        <v>24740</v>
      </c>
      <c r="I646" s="11" t="s">
        <v>19</v>
      </c>
      <c r="J646" s="49" t="s">
        <v>18</v>
      </c>
      <c r="K646" s="50">
        <v>9.9</v>
      </c>
      <c r="L646" s="51">
        <f ca="1">TRUNC((TODAY()-tBase[[#This Row],[Data Nascimento]])/365)</f>
        <v>58</v>
      </c>
      <c r="M646" s="49" t="str">
        <f ca="1">HLOOKUP(tBase[[#This Row],[Idade]],$P$7:$S$8,2,TRUE)</f>
        <v>54-70</v>
      </c>
    </row>
    <row r="647" spans="2:13">
      <c r="B647" s="48">
        <v>87558717722</v>
      </c>
      <c r="C647" s="49" t="s">
        <v>368</v>
      </c>
      <c r="D647" s="49" t="s">
        <v>43</v>
      </c>
      <c r="E647" s="49" t="s">
        <v>291</v>
      </c>
      <c r="F647" s="49" t="s">
        <v>62</v>
      </c>
      <c r="G647" s="49" t="s">
        <v>16</v>
      </c>
      <c r="H647" s="11">
        <v>28845</v>
      </c>
      <c r="I647" s="11" t="s">
        <v>19</v>
      </c>
      <c r="J647" s="49" t="s">
        <v>18</v>
      </c>
      <c r="K647" s="50">
        <v>9.9</v>
      </c>
      <c r="L647" s="51">
        <f ca="1">TRUNC((TODAY()-tBase[[#This Row],[Data Nascimento]])/365)</f>
        <v>47</v>
      </c>
      <c r="M647" s="49" t="str">
        <f ca="1">HLOOKUP(tBase[[#This Row],[Idade]],$P$7:$S$8,2,TRUE)</f>
        <v>44 - 54</v>
      </c>
    </row>
    <row r="648" spans="2:13">
      <c r="B648" s="48">
        <v>31935346566</v>
      </c>
      <c r="C648" s="49" t="s">
        <v>369</v>
      </c>
      <c r="D648" s="49" t="s">
        <v>43</v>
      </c>
      <c r="E648" s="49" t="s">
        <v>291</v>
      </c>
      <c r="F648" s="49" t="s">
        <v>38</v>
      </c>
      <c r="G648" s="49" t="s">
        <v>16</v>
      </c>
      <c r="H648" s="11">
        <v>23998</v>
      </c>
      <c r="I648" s="11" t="s">
        <v>19</v>
      </c>
      <c r="J648" s="49" t="s">
        <v>44</v>
      </c>
      <c r="K648" s="50">
        <v>35.9</v>
      </c>
      <c r="L648" s="51">
        <f ca="1">TRUNC((TODAY()-tBase[[#This Row],[Data Nascimento]])/365)</f>
        <v>60</v>
      </c>
      <c r="M648" s="49" t="str">
        <f ca="1">HLOOKUP(tBase[[#This Row],[Idade]],$P$7:$S$8,2,TRUE)</f>
        <v>54-70</v>
      </c>
    </row>
    <row r="649" spans="2:13">
      <c r="B649" s="48">
        <v>54783687741</v>
      </c>
      <c r="C649" s="49" t="s">
        <v>369</v>
      </c>
      <c r="D649" s="49" t="s">
        <v>43</v>
      </c>
      <c r="E649" s="49" t="s">
        <v>291</v>
      </c>
      <c r="F649" s="49" t="s">
        <v>38</v>
      </c>
      <c r="G649" s="49" t="s">
        <v>16</v>
      </c>
      <c r="H649" s="11">
        <v>32444</v>
      </c>
      <c r="I649" s="11" t="s">
        <v>17</v>
      </c>
      <c r="J649" s="49" t="s">
        <v>44</v>
      </c>
      <c r="K649" s="50">
        <v>35.9</v>
      </c>
      <c r="L649" s="51">
        <f ca="1">TRUNC((TODAY()-tBase[[#This Row],[Data Nascimento]])/365)</f>
        <v>37</v>
      </c>
      <c r="M649" s="49" t="str">
        <f ca="1">HLOOKUP(tBase[[#This Row],[Idade]],$P$7:$S$8,2,TRUE)</f>
        <v>35 - 44</v>
      </c>
    </row>
    <row r="650" spans="2:13">
      <c r="B650" s="48">
        <v>29151032854</v>
      </c>
      <c r="C650" s="49" t="s">
        <v>370</v>
      </c>
      <c r="D650" s="49" t="s">
        <v>43</v>
      </c>
      <c r="E650" s="49" t="s">
        <v>291</v>
      </c>
      <c r="F650" s="49" t="s">
        <v>15</v>
      </c>
      <c r="G650" s="49" t="s">
        <v>16</v>
      </c>
      <c r="H650" s="11">
        <v>23279</v>
      </c>
      <c r="I650" s="11" t="s">
        <v>24</v>
      </c>
      <c r="J650" s="49" t="s">
        <v>18</v>
      </c>
      <c r="K650" s="50">
        <v>9.9</v>
      </c>
      <c r="L650" s="51">
        <f ca="1">TRUNC((TODAY()-tBase[[#This Row],[Data Nascimento]])/365)</f>
        <v>62</v>
      </c>
      <c r="M650" s="49" t="str">
        <f ca="1">HLOOKUP(tBase[[#This Row],[Idade]],$P$7:$S$8,2,TRUE)</f>
        <v>54-70</v>
      </c>
    </row>
    <row r="651" spans="2:13">
      <c r="B651" s="48">
        <v>66760582781</v>
      </c>
      <c r="C651" s="49" t="s">
        <v>370</v>
      </c>
      <c r="D651" s="49" t="s">
        <v>43</v>
      </c>
      <c r="E651" s="49" t="s">
        <v>291</v>
      </c>
      <c r="F651" s="49" t="s">
        <v>15</v>
      </c>
      <c r="G651" s="49" t="s">
        <v>16</v>
      </c>
      <c r="H651" s="11">
        <v>26251</v>
      </c>
      <c r="I651" s="11" t="s">
        <v>17</v>
      </c>
      <c r="J651" s="49" t="s">
        <v>18</v>
      </c>
      <c r="K651" s="50">
        <v>9.9</v>
      </c>
      <c r="L651" s="51">
        <f ca="1">TRUNC((TODAY()-tBase[[#This Row],[Data Nascimento]])/365)</f>
        <v>54</v>
      </c>
      <c r="M651" s="49" t="str">
        <f ca="1">HLOOKUP(tBase[[#This Row],[Idade]],$P$7:$S$8,2,TRUE)</f>
        <v>54-70</v>
      </c>
    </row>
    <row r="652" spans="2:13">
      <c r="B652" s="48">
        <v>53264395264</v>
      </c>
      <c r="C652" s="49" t="s">
        <v>371</v>
      </c>
      <c r="D652" s="49" t="s">
        <v>43</v>
      </c>
      <c r="E652" s="49" t="s">
        <v>291</v>
      </c>
      <c r="F652" s="49" t="s">
        <v>15</v>
      </c>
      <c r="G652" s="49" t="s">
        <v>16</v>
      </c>
      <c r="H652" s="11">
        <v>27505</v>
      </c>
      <c r="I652" s="11" t="s">
        <v>19</v>
      </c>
      <c r="J652" s="49" t="s">
        <v>18</v>
      </c>
      <c r="K652" s="50">
        <v>9.9</v>
      </c>
      <c r="L652" s="51">
        <f ca="1">TRUNC((TODAY()-tBase[[#This Row],[Data Nascimento]])/365)</f>
        <v>50</v>
      </c>
      <c r="M652" s="49" t="str">
        <f ca="1">HLOOKUP(tBase[[#This Row],[Idade]],$P$7:$S$8,2,TRUE)</f>
        <v>44 - 54</v>
      </c>
    </row>
    <row r="653" spans="2:13">
      <c r="B653" s="48">
        <v>60989752820</v>
      </c>
      <c r="C653" s="49" t="s">
        <v>371</v>
      </c>
      <c r="D653" s="49" t="s">
        <v>43</v>
      </c>
      <c r="E653" s="49" t="s">
        <v>291</v>
      </c>
      <c r="F653" s="49" t="s">
        <v>15</v>
      </c>
      <c r="G653" s="49" t="s">
        <v>16</v>
      </c>
      <c r="H653" s="11">
        <v>33328</v>
      </c>
      <c r="I653" s="11" t="s">
        <v>72</v>
      </c>
      <c r="J653" s="49" t="s">
        <v>18</v>
      </c>
      <c r="K653" s="50">
        <v>9.9</v>
      </c>
      <c r="L653" s="51">
        <f ca="1">TRUNC((TODAY()-tBase[[#This Row],[Data Nascimento]])/365)</f>
        <v>35</v>
      </c>
      <c r="M653" s="49" t="str">
        <f ca="1">HLOOKUP(tBase[[#This Row],[Idade]],$P$7:$S$8,2,TRUE)</f>
        <v>35 - 44</v>
      </c>
    </row>
    <row r="654" spans="2:13">
      <c r="B654" s="48">
        <v>32485376814</v>
      </c>
      <c r="C654" s="49" t="s">
        <v>372</v>
      </c>
      <c r="D654" s="49" t="s">
        <v>43</v>
      </c>
      <c r="E654" s="49" t="s">
        <v>291</v>
      </c>
      <c r="F654" s="49" t="s">
        <v>15</v>
      </c>
      <c r="G654" s="49" t="s">
        <v>32</v>
      </c>
      <c r="H654" s="11">
        <v>24536</v>
      </c>
      <c r="I654" s="11" t="s">
        <v>72</v>
      </c>
      <c r="J654" s="49" t="s">
        <v>41</v>
      </c>
      <c r="K654" s="50">
        <v>29.9</v>
      </c>
      <c r="L654" s="51">
        <f ca="1">TRUNC((TODAY()-tBase[[#This Row],[Data Nascimento]])/365)</f>
        <v>59</v>
      </c>
      <c r="M654" s="49" t="str">
        <f ca="1">HLOOKUP(tBase[[#This Row],[Idade]],$P$7:$S$8,2,TRUE)</f>
        <v>54-70</v>
      </c>
    </row>
    <row r="655" spans="2:13">
      <c r="B655" s="48">
        <v>76513561348</v>
      </c>
      <c r="C655" s="49" t="s">
        <v>372</v>
      </c>
      <c r="D655" s="49" t="s">
        <v>43</v>
      </c>
      <c r="E655" s="49" t="s">
        <v>291</v>
      </c>
      <c r="F655" s="49" t="s">
        <v>15</v>
      </c>
      <c r="G655" s="49" t="s">
        <v>32</v>
      </c>
      <c r="H655" s="11">
        <v>31667</v>
      </c>
      <c r="I655" s="11" t="s">
        <v>17</v>
      </c>
      <c r="J655" s="49" t="s">
        <v>41</v>
      </c>
      <c r="K655" s="50">
        <v>29.9</v>
      </c>
      <c r="L655" s="51">
        <f ca="1">TRUNC((TODAY()-tBase[[#This Row],[Data Nascimento]])/365)</f>
        <v>39</v>
      </c>
      <c r="M655" s="49" t="str">
        <f ca="1">HLOOKUP(tBase[[#This Row],[Idade]],$P$7:$S$8,2,TRUE)</f>
        <v>35 - 44</v>
      </c>
    </row>
    <row r="656" spans="2:13">
      <c r="B656" s="48">
        <v>29773455762</v>
      </c>
      <c r="C656" s="49" t="s">
        <v>373</v>
      </c>
      <c r="D656" s="49" t="s">
        <v>43</v>
      </c>
      <c r="E656" s="49" t="s">
        <v>291</v>
      </c>
      <c r="F656" s="49" t="s">
        <v>40</v>
      </c>
      <c r="G656" s="49" t="s">
        <v>32</v>
      </c>
      <c r="H656" s="11">
        <v>30083</v>
      </c>
      <c r="I656" s="11" t="s">
        <v>17</v>
      </c>
      <c r="J656" s="49" t="s">
        <v>41</v>
      </c>
      <c r="K656" s="50">
        <v>29.9</v>
      </c>
      <c r="L656" s="51">
        <f ca="1">TRUNC((TODAY()-tBase[[#This Row],[Data Nascimento]])/365)</f>
        <v>43</v>
      </c>
      <c r="M656" s="49" t="str">
        <f ca="1">HLOOKUP(tBase[[#This Row],[Idade]],$P$7:$S$8,2,TRUE)</f>
        <v>35 - 44</v>
      </c>
    </row>
    <row r="657" spans="2:13">
      <c r="B657" s="48">
        <v>87285460641</v>
      </c>
      <c r="C657" s="49" t="s">
        <v>373</v>
      </c>
      <c r="D657" s="49" t="s">
        <v>43</v>
      </c>
      <c r="E657" s="49" t="s">
        <v>291</v>
      </c>
      <c r="F657" s="49" t="s">
        <v>40</v>
      </c>
      <c r="G657" s="49" t="s">
        <v>32</v>
      </c>
      <c r="H657" s="11">
        <v>31436</v>
      </c>
      <c r="I657" s="11" t="s">
        <v>72</v>
      </c>
      <c r="J657" s="49" t="s">
        <v>41</v>
      </c>
      <c r="K657" s="50">
        <v>29.9</v>
      </c>
      <c r="L657" s="51">
        <f ca="1">TRUNC((TODAY()-tBase[[#This Row],[Data Nascimento]])/365)</f>
        <v>40</v>
      </c>
      <c r="M657" s="49" t="str">
        <f ca="1">HLOOKUP(tBase[[#This Row],[Idade]],$P$7:$S$8,2,TRUE)</f>
        <v>35 - 44</v>
      </c>
    </row>
    <row r="658" spans="2:13">
      <c r="B658" s="48">
        <v>23474418720</v>
      </c>
      <c r="C658" s="49" t="s">
        <v>374</v>
      </c>
      <c r="D658" s="49" t="s">
        <v>43</v>
      </c>
      <c r="E658" s="49" t="s">
        <v>291</v>
      </c>
      <c r="F658" s="49" t="s">
        <v>62</v>
      </c>
      <c r="G658" s="49" t="s">
        <v>16</v>
      </c>
      <c r="H658" s="11">
        <v>23540</v>
      </c>
      <c r="I658" s="11" t="s">
        <v>19</v>
      </c>
      <c r="J658" s="49" t="s">
        <v>41</v>
      </c>
      <c r="K658" s="50">
        <v>29.9</v>
      </c>
      <c r="L658" s="51">
        <f ca="1">TRUNC((TODAY()-tBase[[#This Row],[Data Nascimento]])/365)</f>
        <v>61</v>
      </c>
      <c r="M658" s="49" t="str">
        <f ca="1">HLOOKUP(tBase[[#This Row],[Idade]],$P$7:$S$8,2,TRUE)</f>
        <v>54-70</v>
      </c>
    </row>
    <row r="659" spans="2:13">
      <c r="B659" s="48">
        <v>96777910303</v>
      </c>
      <c r="C659" s="49" t="s">
        <v>374</v>
      </c>
      <c r="D659" s="49" t="s">
        <v>43</v>
      </c>
      <c r="E659" s="49" t="s">
        <v>291</v>
      </c>
      <c r="F659" s="49" t="s">
        <v>62</v>
      </c>
      <c r="G659" s="49" t="s">
        <v>16</v>
      </c>
      <c r="H659" s="11">
        <v>22684</v>
      </c>
      <c r="I659" s="11" t="s">
        <v>17</v>
      </c>
      <c r="J659" s="49" t="s">
        <v>41</v>
      </c>
      <c r="K659" s="50">
        <v>29.9</v>
      </c>
      <c r="L659" s="51">
        <f ca="1">TRUNC((TODAY()-tBase[[#This Row],[Data Nascimento]])/365)</f>
        <v>64</v>
      </c>
      <c r="M659" s="49" t="str">
        <f ca="1">HLOOKUP(tBase[[#This Row],[Idade]],$P$7:$S$8,2,TRUE)</f>
        <v>54-70</v>
      </c>
    </row>
    <row r="660" spans="2:13">
      <c r="B660" s="48">
        <v>44641671343</v>
      </c>
      <c r="C660" s="49" t="s">
        <v>375</v>
      </c>
      <c r="D660" s="49" t="s">
        <v>43</v>
      </c>
      <c r="E660" s="49" t="s">
        <v>291</v>
      </c>
      <c r="F660" s="49" t="s">
        <v>40</v>
      </c>
      <c r="G660" s="49" t="s">
        <v>32</v>
      </c>
      <c r="H660" s="11">
        <v>27549</v>
      </c>
      <c r="I660" s="11" t="s">
        <v>72</v>
      </c>
      <c r="J660" s="49" t="s">
        <v>18</v>
      </c>
      <c r="K660" s="50">
        <v>9.9</v>
      </c>
      <c r="L660" s="51">
        <f ca="1">TRUNC((TODAY()-tBase[[#This Row],[Data Nascimento]])/365)</f>
        <v>50</v>
      </c>
      <c r="M660" s="49" t="str">
        <f ca="1">HLOOKUP(tBase[[#This Row],[Idade]],$P$7:$S$8,2,TRUE)</f>
        <v>44 - 54</v>
      </c>
    </row>
    <row r="661" spans="2:13">
      <c r="B661" s="48">
        <v>54526384776</v>
      </c>
      <c r="C661" s="49" t="s">
        <v>375</v>
      </c>
      <c r="D661" s="49" t="s">
        <v>43</v>
      </c>
      <c r="E661" s="49" t="s">
        <v>291</v>
      </c>
      <c r="F661" s="49" t="s">
        <v>40</v>
      </c>
      <c r="G661" s="49" t="s">
        <v>32</v>
      </c>
      <c r="H661" s="11">
        <v>29970</v>
      </c>
      <c r="I661" s="11" t="s">
        <v>17</v>
      </c>
      <c r="J661" s="49" t="s">
        <v>18</v>
      </c>
      <c r="K661" s="50">
        <v>9.9</v>
      </c>
      <c r="L661" s="51">
        <f ca="1">TRUNC((TODAY()-tBase[[#This Row],[Data Nascimento]])/365)</f>
        <v>44</v>
      </c>
      <c r="M661" s="49" t="str">
        <f ca="1">HLOOKUP(tBase[[#This Row],[Idade]],$P$7:$S$8,2,TRUE)</f>
        <v>44 - 54</v>
      </c>
    </row>
    <row r="662" spans="2:13">
      <c r="B662" s="48">
        <v>45551104001</v>
      </c>
      <c r="C662" s="49" t="s">
        <v>376</v>
      </c>
      <c r="D662" s="49" t="s">
        <v>43</v>
      </c>
      <c r="E662" s="49" t="s">
        <v>291</v>
      </c>
      <c r="F662" s="49" t="s">
        <v>15</v>
      </c>
      <c r="G662" s="49" t="s">
        <v>32</v>
      </c>
      <c r="H662" s="11">
        <v>21615</v>
      </c>
      <c r="I662" s="11" t="s">
        <v>17</v>
      </c>
      <c r="J662" s="49" t="s">
        <v>18</v>
      </c>
      <c r="K662" s="50">
        <v>9.9</v>
      </c>
      <c r="L662" s="51">
        <f ca="1">TRUNC((TODAY()-tBase[[#This Row],[Data Nascimento]])/365)</f>
        <v>67</v>
      </c>
      <c r="M662" s="49" t="str">
        <f ca="1">HLOOKUP(tBase[[#This Row],[Idade]],$P$7:$S$8,2,TRUE)</f>
        <v>54-70</v>
      </c>
    </row>
    <row r="663" spans="2:13">
      <c r="B663" s="48">
        <v>58079835440</v>
      </c>
      <c r="C663" s="49" t="s">
        <v>376</v>
      </c>
      <c r="D663" s="49" t="s">
        <v>43</v>
      </c>
      <c r="E663" s="49" t="s">
        <v>291</v>
      </c>
      <c r="F663" s="49" t="s">
        <v>15</v>
      </c>
      <c r="G663" s="49" t="s">
        <v>32</v>
      </c>
      <c r="H663" s="11">
        <v>24209</v>
      </c>
      <c r="I663" s="11" t="s">
        <v>17</v>
      </c>
      <c r="J663" s="49" t="s">
        <v>18</v>
      </c>
      <c r="K663" s="50">
        <v>9.9</v>
      </c>
      <c r="L663" s="51">
        <f ca="1">TRUNC((TODAY()-tBase[[#This Row],[Data Nascimento]])/365)</f>
        <v>60</v>
      </c>
      <c r="M663" s="49" t="str">
        <f ca="1">HLOOKUP(tBase[[#This Row],[Idade]],$P$7:$S$8,2,TRUE)</f>
        <v>54-70</v>
      </c>
    </row>
    <row r="664" spans="2:13">
      <c r="B664" s="48">
        <v>54171024069</v>
      </c>
      <c r="C664" s="49" t="s">
        <v>377</v>
      </c>
      <c r="D664" s="49" t="s">
        <v>43</v>
      </c>
      <c r="E664" s="49" t="s">
        <v>291</v>
      </c>
      <c r="F664" s="49" t="s">
        <v>59</v>
      </c>
      <c r="G664" s="49" t="s">
        <v>16</v>
      </c>
      <c r="H664" s="11">
        <v>26935</v>
      </c>
      <c r="I664" s="11" t="s">
        <v>36</v>
      </c>
      <c r="J664" s="49" t="s">
        <v>18</v>
      </c>
      <c r="K664" s="50">
        <v>9.9</v>
      </c>
      <c r="L664" s="51">
        <f ca="1">TRUNC((TODAY()-tBase[[#This Row],[Data Nascimento]])/365)</f>
        <v>52</v>
      </c>
      <c r="M664" s="49" t="str">
        <f ca="1">HLOOKUP(tBase[[#This Row],[Idade]],$P$7:$S$8,2,TRUE)</f>
        <v>44 - 54</v>
      </c>
    </row>
    <row r="665" spans="2:13">
      <c r="B665" s="48">
        <v>88425685425</v>
      </c>
      <c r="C665" s="49" t="s">
        <v>377</v>
      </c>
      <c r="D665" s="49" t="s">
        <v>43</v>
      </c>
      <c r="E665" s="49" t="s">
        <v>291</v>
      </c>
      <c r="F665" s="49" t="s">
        <v>59</v>
      </c>
      <c r="G665" s="49" t="s">
        <v>16</v>
      </c>
      <c r="H665" s="11">
        <v>23204</v>
      </c>
      <c r="I665" s="11" t="s">
        <v>17</v>
      </c>
      <c r="J665" s="49" t="s">
        <v>18</v>
      </c>
      <c r="K665" s="50">
        <v>9.9</v>
      </c>
      <c r="L665" s="51">
        <f ca="1">TRUNC((TODAY()-tBase[[#This Row],[Data Nascimento]])/365)</f>
        <v>62</v>
      </c>
      <c r="M665" s="49" t="str">
        <f ca="1">HLOOKUP(tBase[[#This Row],[Idade]],$P$7:$S$8,2,TRUE)</f>
        <v>54-70</v>
      </c>
    </row>
    <row r="666" spans="2:13">
      <c r="B666" s="48">
        <v>43118591455</v>
      </c>
      <c r="C666" s="49" t="s">
        <v>378</v>
      </c>
      <c r="D666" s="49" t="s">
        <v>43</v>
      </c>
      <c r="E666" s="49" t="s">
        <v>291</v>
      </c>
      <c r="F666" s="49" t="s">
        <v>15</v>
      </c>
      <c r="G666" s="49" t="s">
        <v>32</v>
      </c>
      <c r="H666" s="11">
        <v>25014</v>
      </c>
      <c r="I666" s="11" t="s">
        <v>17</v>
      </c>
      <c r="J666" s="49" t="s">
        <v>33</v>
      </c>
      <c r="K666" s="50">
        <v>79.900000000000006</v>
      </c>
      <c r="L666" s="51">
        <f ca="1">TRUNC((TODAY()-tBase[[#This Row],[Data Nascimento]])/365)</f>
        <v>57</v>
      </c>
      <c r="M666" s="49" t="str">
        <f ca="1">HLOOKUP(tBase[[#This Row],[Idade]],$P$7:$S$8,2,TRUE)</f>
        <v>54-70</v>
      </c>
    </row>
    <row r="667" spans="2:13">
      <c r="B667" s="48">
        <v>46157189382</v>
      </c>
      <c r="C667" s="49" t="s">
        <v>378</v>
      </c>
      <c r="D667" s="49" t="s">
        <v>43</v>
      </c>
      <c r="E667" s="49" t="s">
        <v>291</v>
      </c>
      <c r="F667" s="49" t="s">
        <v>15</v>
      </c>
      <c r="G667" s="49" t="s">
        <v>32</v>
      </c>
      <c r="H667" s="11">
        <v>25876</v>
      </c>
      <c r="I667" s="11" t="s">
        <v>19</v>
      </c>
      <c r="J667" s="49" t="s">
        <v>33</v>
      </c>
      <c r="K667" s="50">
        <v>79.900000000000006</v>
      </c>
      <c r="L667" s="51">
        <f ca="1">TRUNC((TODAY()-tBase[[#This Row],[Data Nascimento]])/365)</f>
        <v>55</v>
      </c>
      <c r="M667" s="49" t="str">
        <f ca="1">HLOOKUP(tBase[[#This Row],[Idade]],$P$7:$S$8,2,TRUE)</f>
        <v>54-70</v>
      </c>
    </row>
    <row r="668" spans="2:13">
      <c r="B668" s="48">
        <v>52969912178</v>
      </c>
      <c r="C668" s="49" t="s">
        <v>379</v>
      </c>
      <c r="D668" s="49" t="s">
        <v>43</v>
      </c>
      <c r="E668" s="49" t="s">
        <v>291</v>
      </c>
      <c r="F668" s="49" t="s">
        <v>15</v>
      </c>
      <c r="G668" s="49" t="s">
        <v>32</v>
      </c>
      <c r="H668" s="11">
        <v>28586</v>
      </c>
      <c r="I668" s="11" t="s">
        <v>17</v>
      </c>
      <c r="J668" s="49" t="s">
        <v>33</v>
      </c>
      <c r="K668" s="50">
        <v>79.900000000000006</v>
      </c>
      <c r="L668" s="51">
        <f ca="1">TRUNC((TODAY()-tBase[[#This Row],[Data Nascimento]])/365)</f>
        <v>48</v>
      </c>
      <c r="M668" s="49" t="str">
        <f ca="1">HLOOKUP(tBase[[#This Row],[Idade]],$P$7:$S$8,2,TRUE)</f>
        <v>44 - 54</v>
      </c>
    </row>
    <row r="669" spans="2:13">
      <c r="B669" s="48">
        <v>58668298672</v>
      </c>
      <c r="C669" s="49" t="s">
        <v>379</v>
      </c>
      <c r="D669" s="49" t="s">
        <v>43</v>
      </c>
      <c r="E669" s="49" t="s">
        <v>291</v>
      </c>
      <c r="F669" s="49" t="s">
        <v>15</v>
      </c>
      <c r="G669" s="49" t="s">
        <v>32</v>
      </c>
      <c r="H669" s="11">
        <v>34171</v>
      </c>
      <c r="I669" s="11" t="s">
        <v>17</v>
      </c>
      <c r="J669" s="49" t="s">
        <v>33</v>
      </c>
      <c r="K669" s="50">
        <v>79.900000000000006</v>
      </c>
      <c r="L669" s="51">
        <f ca="1">TRUNC((TODAY()-tBase[[#This Row],[Data Nascimento]])/365)</f>
        <v>32</v>
      </c>
      <c r="M669" s="49" t="str">
        <f ca="1">HLOOKUP(tBase[[#This Row],[Idade]],$P$7:$S$8,2,TRUE)</f>
        <v>24-34</v>
      </c>
    </row>
    <row r="670" spans="2:13">
      <c r="B670" s="48">
        <v>31161056912</v>
      </c>
      <c r="C670" s="49" t="s">
        <v>380</v>
      </c>
      <c r="D670" s="49" t="s">
        <v>43</v>
      </c>
      <c r="E670" s="49" t="s">
        <v>291</v>
      </c>
      <c r="F670" s="49" t="s">
        <v>38</v>
      </c>
      <c r="G670" s="49" t="s">
        <v>52</v>
      </c>
      <c r="H670" s="11">
        <v>26656</v>
      </c>
      <c r="I670" s="11" t="s">
        <v>17</v>
      </c>
      <c r="J670" s="49" t="s">
        <v>44</v>
      </c>
      <c r="K670" s="50">
        <v>35.9</v>
      </c>
      <c r="L670" s="51">
        <f ca="1">TRUNC((TODAY()-tBase[[#This Row],[Data Nascimento]])/365)</f>
        <v>53</v>
      </c>
      <c r="M670" s="49" t="str">
        <f ca="1">HLOOKUP(tBase[[#This Row],[Idade]],$P$7:$S$8,2,TRUE)</f>
        <v>44 - 54</v>
      </c>
    </row>
    <row r="671" spans="2:13">
      <c r="B671" s="48">
        <v>38046725955</v>
      </c>
      <c r="C671" s="49" t="s">
        <v>380</v>
      </c>
      <c r="D671" s="49" t="s">
        <v>43</v>
      </c>
      <c r="E671" s="49" t="s">
        <v>291</v>
      </c>
      <c r="F671" s="49" t="s">
        <v>38</v>
      </c>
      <c r="G671" s="49" t="s">
        <v>52</v>
      </c>
      <c r="H671" s="11">
        <v>27594</v>
      </c>
      <c r="I671" s="11" t="s">
        <v>19</v>
      </c>
      <c r="J671" s="49" t="s">
        <v>44</v>
      </c>
      <c r="K671" s="50">
        <v>35.9</v>
      </c>
      <c r="L671" s="51">
        <f ca="1">TRUNC((TODAY()-tBase[[#This Row],[Data Nascimento]])/365)</f>
        <v>50</v>
      </c>
      <c r="M671" s="49" t="str">
        <f ca="1">HLOOKUP(tBase[[#This Row],[Idade]],$P$7:$S$8,2,TRUE)</f>
        <v>44 - 54</v>
      </c>
    </row>
    <row r="672" spans="2:13">
      <c r="B672" s="48">
        <v>43001444003</v>
      </c>
      <c r="C672" s="49" t="s">
        <v>381</v>
      </c>
      <c r="D672" s="49" t="s">
        <v>43</v>
      </c>
      <c r="E672" s="49" t="s">
        <v>291</v>
      </c>
      <c r="F672" s="49" t="s">
        <v>15</v>
      </c>
      <c r="G672" s="49" t="s">
        <v>32</v>
      </c>
      <c r="H672" s="11">
        <v>25444</v>
      </c>
      <c r="I672" s="11" t="s">
        <v>17</v>
      </c>
      <c r="J672" s="49" t="s">
        <v>41</v>
      </c>
      <c r="K672" s="50">
        <v>29.9</v>
      </c>
      <c r="L672" s="51">
        <f ca="1">TRUNC((TODAY()-tBase[[#This Row],[Data Nascimento]])/365)</f>
        <v>56</v>
      </c>
      <c r="M672" s="49" t="str">
        <f ca="1">HLOOKUP(tBase[[#This Row],[Idade]],$P$7:$S$8,2,TRUE)</f>
        <v>54-70</v>
      </c>
    </row>
    <row r="673" spans="2:13">
      <c r="B673" s="48">
        <v>97854794245</v>
      </c>
      <c r="C673" s="49" t="s">
        <v>381</v>
      </c>
      <c r="D673" s="49" t="s">
        <v>43</v>
      </c>
      <c r="E673" s="49" t="s">
        <v>291</v>
      </c>
      <c r="F673" s="49" t="s">
        <v>15</v>
      </c>
      <c r="G673" s="49" t="s">
        <v>32</v>
      </c>
      <c r="H673" s="11">
        <v>31566</v>
      </c>
      <c r="I673" s="11" t="s">
        <v>17</v>
      </c>
      <c r="J673" s="49" t="s">
        <v>41</v>
      </c>
      <c r="K673" s="50">
        <v>29.9</v>
      </c>
      <c r="L673" s="51">
        <f ca="1">TRUNC((TODAY()-tBase[[#This Row],[Data Nascimento]])/365)</f>
        <v>39</v>
      </c>
      <c r="M673" s="49" t="str">
        <f ca="1">HLOOKUP(tBase[[#This Row],[Idade]],$P$7:$S$8,2,TRUE)</f>
        <v>35 - 44</v>
      </c>
    </row>
    <row r="674" spans="2:13">
      <c r="B674" s="48">
        <v>48925097810</v>
      </c>
      <c r="C674" s="49" t="s">
        <v>382</v>
      </c>
      <c r="D674" s="49" t="s">
        <v>43</v>
      </c>
      <c r="E674" s="49" t="s">
        <v>291</v>
      </c>
      <c r="F674" s="49" t="s">
        <v>38</v>
      </c>
      <c r="G674" s="49" t="s">
        <v>16</v>
      </c>
      <c r="H674" s="11">
        <v>21803</v>
      </c>
      <c r="I674" s="11" t="s">
        <v>19</v>
      </c>
      <c r="J674" s="49" t="s">
        <v>41</v>
      </c>
      <c r="K674" s="50">
        <v>29.9</v>
      </c>
      <c r="L674" s="51">
        <f ca="1">TRUNC((TODAY()-tBase[[#This Row],[Data Nascimento]])/365)</f>
        <v>66</v>
      </c>
      <c r="M674" s="49" t="str">
        <f ca="1">HLOOKUP(tBase[[#This Row],[Idade]],$P$7:$S$8,2,TRUE)</f>
        <v>54-70</v>
      </c>
    </row>
    <row r="675" spans="2:13">
      <c r="B675" s="48">
        <v>73430417324</v>
      </c>
      <c r="C675" s="49" t="s">
        <v>382</v>
      </c>
      <c r="D675" s="49" t="s">
        <v>43</v>
      </c>
      <c r="E675" s="49" t="s">
        <v>291</v>
      </c>
      <c r="F675" s="49" t="s">
        <v>38</v>
      </c>
      <c r="G675" s="49" t="s">
        <v>16</v>
      </c>
      <c r="H675" s="11">
        <v>29967</v>
      </c>
      <c r="I675" s="11" t="s">
        <v>17</v>
      </c>
      <c r="J675" s="49" t="s">
        <v>41</v>
      </c>
      <c r="K675" s="50">
        <v>29.9</v>
      </c>
      <c r="L675" s="51">
        <f ca="1">TRUNC((TODAY()-tBase[[#This Row],[Data Nascimento]])/365)</f>
        <v>44</v>
      </c>
      <c r="M675" s="49" t="str">
        <f ca="1">HLOOKUP(tBase[[#This Row],[Idade]],$P$7:$S$8,2,TRUE)</f>
        <v>44 - 54</v>
      </c>
    </row>
    <row r="676" spans="2:13">
      <c r="B676" s="48">
        <v>50213585733</v>
      </c>
      <c r="C676" s="49" t="s">
        <v>383</v>
      </c>
      <c r="D676" s="49" t="s">
        <v>43</v>
      </c>
      <c r="E676" s="49" t="s">
        <v>291</v>
      </c>
      <c r="F676" s="49" t="s">
        <v>38</v>
      </c>
      <c r="G676" s="49" t="s">
        <v>16</v>
      </c>
      <c r="H676" s="11">
        <v>22538</v>
      </c>
      <c r="I676" s="11" t="s">
        <v>21</v>
      </c>
      <c r="J676" s="49" t="s">
        <v>18</v>
      </c>
      <c r="K676" s="50">
        <v>9.9</v>
      </c>
      <c r="L676" s="51">
        <f ca="1">TRUNC((TODAY()-tBase[[#This Row],[Data Nascimento]])/365)</f>
        <v>64</v>
      </c>
      <c r="M676" s="49" t="str">
        <f ca="1">HLOOKUP(tBase[[#This Row],[Idade]],$P$7:$S$8,2,TRUE)</f>
        <v>54-70</v>
      </c>
    </row>
    <row r="677" spans="2:13">
      <c r="B677" s="48">
        <v>84303229207</v>
      </c>
      <c r="C677" s="49" t="s">
        <v>383</v>
      </c>
      <c r="D677" s="49" t="s">
        <v>43</v>
      </c>
      <c r="E677" s="49" t="s">
        <v>291</v>
      </c>
      <c r="F677" s="49" t="s">
        <v>38</v>
      </c>
      <c r="G677" s="49" t="s">
        <v>16</v>
      </c>
      <c r="H677" s="11">
        <v>25333</v>
      </c>
      <c r="I677" s="11" t="s">
        <v>17</v>
      </c>
      <c r="J677" s="49" t="s">
        <v>18</v>
      </c>
      <c r="K677" s="50">
        <v>9.9</v>
      </c>
      <c r="L677" s="51">
        <f ca="1">TRUNC((TODAY()-tBase[[#This Row],[Data Nascimento]])/365)</f>
        <v>56</v>
      </c>
      <c r="M677" s="49" t="str">
        <f ca="1">HLOOKUP(tBase[[#This Row],[Idade]],$P$7:$S$8,2,TRUE)</f>
        <v>54-70</v>
      </c>
    </row>
    <row r="678" spans="2:13">
      <c r="B678" s="48">
        <v>40907557618</v>
      </c>
      <c r="C678" s="49" t="s">
        <v>384</v>
      </c>
      <c r="D678" s="49" t="s">
        <v>43</v>
      </c>
      <c r="E678" s="49" t="s">
        <v>291</v>
      </c>
      <c r="F678" s="49" t="s">
        <v>38</v>
      </c>
      <c r="G678" s="49" t="s">
        <v>52</v>
      </c>
      <c r="H678" s="11">
        <v>26700</v>
      </c>
      <c r="I678" s="11" t="s">
        <v>21</v>
      </c>
      <c r="J678" s="49" t="s">
        <v>44</v>
      </c>
      <c r="K678" s="50">
        <v>35.9</v>
      </c>
      <c r="L678" s="51">
        <f ca="1">TRUNC((TODAY()-tBase[[#This Row],[Data Nascimento]])/365)</f>
        <v>53</v>
      </c>
      <c r="M678" s="49" t="str">
        <f ca="1">HLOOKUP(tBase[[#This Row],[Idade]],$P$7:$S$8,2,TRUE)</f>
        <v>44 - 54</v>
      </c>
    </row>
    <row r="679" spans="2:13">
      <c r="B679" s="48">
        <v>46353055602</v>
      </c>
      <c r="C679" s="49" t="s">
        <v>384</v>
      </c>
      <c r="D679" s="49" t="s">
        <v>43</v>
      </c>
      <c r="E679" s="49" t="s">
        <v>291</v>
      </c>
      <c r="F679" s="49" t="s">
        <v>38</v>
      </c>
      <c r="G679" s="49" t="s">
        <v>52</v>
      </c>
      <c r="H679" s="11">
        <v>22815</v>
      </c>
      <c r="I679" s="11" t="s">
        <v>17</v>
      </c>
      <c r="J679" s="49" t="s">
        <v>44</v>
      </c>
      <c r="K679" s="50">
        <v>35.9</v>
      </c>
      <c r="L679" s="51">
        <f ca="1">TRUNC((TODAY()-tBase[[#This Row],[Data Nascimento]])/365)</f>
        <v>63</v>
      </c>
      <c r="M679" s="49" t="str">
        <f ca="1">HLOOKUP(tBase[[#This Row],[Idade]],$P$7:$S$8,2,TRUE)</f>
        <v>54-70</v>
      </c>
    </row>
    <row r="680" spans="2:13">
      <c r="B680" s="48">
        <v>41731968364</v>
      </c>
      <c r="C680" s="49" t="s">
        <v>385</v>
      </c>
      <c r="D680" s="49" t="s">
        <v>43</v>
      </c>
      <c r="E680" s="49" t="s">
        <v>291</v>
      </c>
      <c r="F680" s="49" t="s">
        <v>38</v>
      </c>
      <c r="G680" s="49" t="s">
        <v>16</v>
      </c>
      <c r="H680" s="11">
        <v>25419</v>
      </c>
      <c r="I680" s="11" t="s">
        <v>24</v>
      </c>
      <c r="J680" s="49" t="s">
        <v>41</v>
      </c>
      <c r="K680" s="50">
        <v>29.9</v>
      </c>
      <c r="L680" s="51">
        <f ca="1">TRUNC((TODAY()-tBase[[#This Row],[Data Nascimento]])/365)</f>
        <v>56</v>
      </c>
      <c r="M680" s="49" t="str">
        <f ca="1">HLOOKUP(tBase[[#This Row],[Idade]],$P$7:$S$8,2,TRUE)</f>
        <v>54-70</v>
      </c>
    </row>
    <row r="681" spans="2:13">
      <c r="B681" s="48">
        <v>87892351305</v>
      </c>
      <c r="C681" s="49" t="s">
        <v>385</v>
      </c>
      <c r="D681" s="49" t="s">
        <v>43</v>
      </c>
      <c r="E681" s="49" t="s">
        <v>291</v>
      </c>
      <c r="F681" s="49" t="s">
        <v>38</v>
      </c>
      <c r="G681" s="49" t="s">
        <v>16</v>
      </c>
      <c r="H681" s="11">
        <v>32482</v>
      </c>
      <c r="I681" s="11" t="s">
        <v>46</v>
      </c>
      <c r="J681" s="49" t="s">
        <v>41</v>
      </c>
      <c r="K681" s="50">
        <v>29.9</v>
      </c>
      <c r="L681" s="51">
        <f ca="1">TRUNC((TODAY()-tBase[[#This Row],[Data Nascimento]])/365)</f>
        <v>37</v>
      </c>
      <c r="M681" s="49" t="str">
        <f ca="1">HLOOKUP(tBase[[#This Row],[Idade]],$P$7:$S$8,2,TRUE)</f>
        <v>35 - 44</v>
      </c>
    </row>
    <row r="682" spans="2:13">
      <c r="B682" s="48">
        <v>40159055249</v>
      </c>
      <c r="C682" s="49" t="s">
        <v>386</v>
      </c>
      <c r="D682" s="49" t="s">
        <v>43</v>
      </c>
      <c r="E682" s="49" t="s">
        <v>291</v>
      </c>
      <c r="F682" s="49" t="s">
        <v>15</v>
      </c>
      <c r="G682" s="49" t="s">
        <v>32</v>
      </c>
      <c r="H682" s="11">
        <v>26165</v>
      </c>
      <c r="I682" s="11" t="s">
        <v>17</v>
      </c>
      <c r="J682" s="49" t="s">
        <v>18</v>
      </c>
      <c r="K682" s="50">
        <v>9.9</v>
      </c>
      <c r="L682" s="51">
        <f ca="1">TRUNC((TODAY()-tBase[[#This Row],[Data Nascimento]])/365)</f>
        <v>54</v>
      </c>
      <c r="M682" s="49" t="str">
        <f ca="1">HLOOKUP(tBase[[#This Row],[Idade]],$P$7:$S$8,2,TRUE)</f>
        <v>54-70</v>
      </c>
    </row>
    <row r="683" spans="2:13">
      <c r="B683" s="48">
        <v>94367151573</v>
      </c>
      <c r="C683" s="49" t="s">
        <v>386</v>
      </c>
      <c r="D683" s="49" t="s">
        <v>43</v>
      </c>
      <c r="E683" s="49" t="s">
        <v>291</v>
      </c>
      <c r="F683" s="49" t="s">
        <v>15</v>
      </c>
      <c r="G683" s="49" t="s">
        <v>32</v>
      </c>
      <c r="H683" s="11">
        <v>30154</v>
      </c>
      <c r="I683" s="11" t="s">
        <v>46</v>
      </c>
      <c r="J683" s="49" t="s">
        <v>18</v>
      </c>
      <c r="K683" s="50">
        <v>9.9</v>
      </c>
      <c r="L683" s="51">
        <f ca="1">TRUNC((TODAY()-tBase[[#This Row],[Data Nascimento]])/365)</f>
        <v>43</v>
      </c>
      <c r="M683" s="49" t="str">
        <f ca="1">HLOOKUP(tBase[[#This Row],[Idade]],$P$7:$S$8,2,TRUE)</f>
        <v>35 - 44</v>
      </c>
    </row>
    <row r="684" spans="2:13">
      <c r="B684" s="48">
        <v>30056943664</v>
      </c>
      <c r="C684" s="49" t="s">
        <v>47</v>
      </c>
      <c r="D684" s="49" t="s">
        <v>43</v>
      </c>
      <c r="E684" s="49" t="s">
        <v>291</v>
      </c>
      <c r="F684" s="49" t="s">
        <v>38</v>
      </c>
      <c r="G684" s="49" t="s">
        <v>16</v>
      </c>
      <c r="H684" s="11">
        <v>21281</v>
      </c>
      <c r="I684" s="11" t="s">
        <v>17</v>
      </c>
      <c r="J684" s="49" t="s">
        <v>44</v>
      </c>
      <c r="K684" s="50">
        <v>35.9</v>
      </c>
      <c r="L684" s="51">
        <f ca="1">TRUNC((TODAY()-tBase[[#This Row],[Data Nascimento]])/365)</f>
        <v>68</v>
      </c>
      <c r="M684" s="49" t="str">
        <f ca="1">HLOOKUP(tBase[[#This Row],[Idade]],$P$7:$S$8,2,TRUE)</f>
        <v>54-70</v>
      </c>
    </row>
    <row r="685" spans="2:13">
      <c r="B685" s="48">
        <v>37693210425</v>
      </c>
      <c r="C685" s="49" t="s">
        <v>48</v>
      </c>
      <c r="D685" s="49" t="s">
        <v>43</v>
      </c>
      <c r="E685" s="49" t="s">
        <v>291</v>
      </c>
      <c r="F685" s="49" t="s">
        <v>15</v>
      </c>
      <c r="G685" s="49" t="s">
        <v>32</v>
      </c>
      <c r="H685" s="11">
        <v>32689</v>
      </c>
      <c r="I685" s="11" t="s">
        <v>17</v>
      </c>
      <c r="J685" s="49" t="s">
        <v>44</v>
      </c>
      <c r="K685" s="50">
        <v>35.9</v>
      </c>
      <c r="L685" s="51">
        <f ca="1">TRUNC((TODAY()-tBase[[#This Row],[Data Nascimento]])/365)</f>
        <v>36</v>
      </c>
      <c r="M685" s="49" t="str">
        <f ca="1">HLOOKUP(tBase[[#This Row],[Idade]],$P$7:$S$8,2,TRUE)</f>
        <v>35 - 44</v>
      </c>
    </row>
    <row r="686" spans="2:13">
      <c r="B686" s="48">
        <v>39482642623</v>
      </c>
      <c r="C686" s="49" t="s">
        <v>387</v>
      </c>
      <c r="D686" s="49" t="s">
        <v>43</v>
      </c>
      <c r="E686" s="49" t="s">
        <v>291</v>
      </c>
      <c r="F686" s="49" t="s">
        <v>59</v>
      </c>
      <c r="G686" s="49" t="s">
        <v>16</v>
      </c>
      <c r="H686" s="11">
        <v>25330</v>
      </c>
      <c r="I686" s="11" t="s">
        <v>24</v>
      </c>
      <c r="J686" s="49" t="s">
        <v>44</v>
      </c>
      <c r="K686" s="50">
        <v>35.9</v>
      </c>
      <c r="L686" s="51">
        <f ca="1">TRUNC((TODAY()-tBase[[#This Row],[Data Nascimento]])/365)</f>
        <v>56</v>
      </c>
      <c r="M686" s="49" t="str">
        <f ca="1">HLOOKUP(tBase[[#This Row],[Idade]],$P$7:$S$8,2,TRUE)</f>
        <v>54-70</v>
      </c>
    </row>
    <row r="687" spans="2:13">
      <c r="B687" s="48">
        <v>75500284653</v>
      </c>
      <c r="C687" s="49" t="s">
        <v>387</v>
      </c>
      <c r="D687" s="49" t="s">
        <v>43</v>
      </c>
      <c r="E687" s="49" t="s">
        <v>291</v>
      </c>
      <c r="F687" s="49" t="s">
        <v>59</v>
      </c>
      <c r="G687" s="49" t="s">
        <v>16</v>
      </c>
      <c r="H687" s="11">
        <v>26262</v>
      </c>
      <c r="I687" s="11" t="s">
        <v>19</v>
      </c>
      <c r="J687" s="49" t="s">
        <v>44</v>
      </c>
      <c r="K687" s="50">
        <v>35.9</v>
      </c>
      <c r="L687" s="51">
        <f ca="1">TRUNC((TODAY()-tBase[[#This Row],[Data Nascimento]])/365)</f>
        <v>54</v>
      </c>
      <c r="M687" s="49" t="str">
        <f ca="1">HLOOKUP(tBase[[#This Row],[Idade]],$P$7:$S$8,2,TRUE)</f>
        <v>54-70</v>
      </c>
    </row>
    <row r="688" spans="2:13">
      <c r="B688" s="48">
        <v>45665433109</v>
      </c>
      <c r="C688" s="49" t="s">
        <v>388</v>
      </c>
      <c r="D688" s="49" t="s">
        <v>43</v>
      </c>
      <c r="E688" s="49" t="s">
        <v>291</v>
      </c>
      <c r="F688" s="49" t="s">
        <v>59</v>
      </c>
      <c r="G688" s="49" t="s">
        <v>52</v>
      </c>
      <c r="H688" s="11">
        <v>29499</v>
      </c>
      <c r="I688" s="11" t="s">
        <v>17</v>
      </c>
      <c r="J688" s="49" t="s">
        <v>18</v>
      </c>
      <c r="K688" s="50">
        <v>9.9</v>
      </c>
      <c r="L688" s="51">
        <f ca="1">TRUNC((TODAY()-tBase[[#This Row],[Data Nascimento]])/365)</f>
        <v>45</v>
      </c>
      <c r="M688" s="49" t="str">
        <f ca="1">HLOOKUP(tBase[[#This Row],[Idade]],$P$7:$S$8,2,TRUE)</f>
        <v>44 - 54</v>
      </c>
    </row>
    <row r="689" spans="2:13">
      <c r="B689" s="48">
        <v>70992659687</v>
      </c>
      <c r="C689" s="49" t="s">
        <v>388</v>
      </c>
      <c r="D689" s="49" t="s">
        <v>43</v>
      </c>
      <c r="E689" s="49" t="s">
        <v>291</v>
      </c>
      <c r="F689" s="49" t="s">
        <v>59</v>
      </c>
      <c r="G689" s="49" t="s">
        <v>52</v>
      </c>
      <c r="H689" s="11">
        <v>29124</v>
      </c>
      <c r="I689" s="11" t="s">
        <v>17</v>
      </c>
      <c r="J689" s="49" t="s">
        <v>18</v>
      </c>
      <c r="K689" s="50">
        <v>9.9</v>
      </c>
      <c r="L689" s="51">
        <f ca="1">TRUNC((TODAY()-tBase[[#This Row],[Data Nascimento]])/365)</f>
        <v>46</v>
      </c>
      <c r="M689" s="49" t="str">
        <f ca="1">HLOOKUP(tBase[[#This Row],[Idade]],$P$7:$S$8,2,TRUE)</f>
        <v>44 - 54</v>
      </c>
    </row>
    <row r="690" spans="2:13">
      <c r="B690" s="48">
        <v>27712009563</v>
      </c>
      <c r="C690" s="49" t="s">
        <v>389</v>
      </c>
      <c r="D690" s="49" t="s">
        <v>43</v>
      </c>
      <c r="E690" s="49" t="s">
        <v>291</v>
      </c>
      <c r="F690" s="49" t="s">
        <v>15</v>
      </c>
      <c r="G690" s="49" t="s">
        <v>52</v>
      </c>
      <c r="H690" s="11">
        <v>24329</v>
      </c>
      <c r="I690" s="11" t="s">
        <v>17</v>
      </c>
      <c r="J690" s="49" t="s">
        <v>41</v>
      </c>
      <c r="K690" s="50">
        <v>29.9</v>
      </c>
      <c r="L690" s="51">
        <f ca="1">TRUNC((TODAY()-tBase[[#This Row],[Data Nascimento]])/365)</f>
        <v>59</v>
      </c>
      <c r="M690" s="49" t="str">
        <f ca="1">HLOOKUP(tBase[[#This Row],[Idade]],$P$7:$S$8,2,TRUE)</f>
        <v>54-70</v>
      </c>
    </row>
    <row r="691" spans="2:13">
      <c r="B691" s="48">
        <v>82602952057</v>
      </c>
      <c r="C691" s="49" t="s">
        <v>389</v>
      </c>
      <c r="D691" s="49" t="s">
        <v>43</v>
      </c>
      <c r="E691" s="49" t="s">
        <v>291</v>
      </c>
      <c r="F691" s="49" t="s">
        <v>15</v>
      </c>
      <c r="G691" s="49" t="s">
        <v>52</v>
      </c>
      <c r="H691" s="11">
        <v>27484</v>
      </c>
      <c r="I691" s="11" t="s">
        <v>19</v>
      </c>
      <c r="J691" s="49" t="s">
        <v>41</v>
      </c>
      <c r="K691" s="50">
        <v>29.9</v>
      </c>
      <c r="L691" s="51">
        <f ca="1">TRUNC((TODAY()-tBase[[#This Row],[Data Nascimento]])/365)</f>
        <v>51</v>
      </c>
      <c r="M691" s="49" t="str">
        <f ca="1">HLOOKUP(tBase[[#This Row],[Idade]],$P$7:$S$8,2,TRUE)</f>
        <v>44 - 54</v>
      </c>
    </row>
    <row r="692" spans="2:13">
      <c r="B692" s="48">
        <v>42084569981</v>
      </c>
      <c r="C692" s="49" t="s">
        <v>390</v>
      </c>
      <c r="D692" s="49" t="s">
        <v>43</v>
      </c>
      <c r="E692" s="49" t="s">
        <v>291</v>
      </c>
      <c r="F692" s="49" t="s">
        <v>15</v>
      </c>
      <c r="G692" s="49" t="s">
        <v>32</v>
      </c>
      <c r="H692" s="11">
        <v>29777</v>
      </c>
      <c r="I692" s="11" t="s">
        <v>46</v>
      </c>
      <c r="J692" s="49" t="s">
        <v>44</v>
      </c>
      <c r="K692" s="50">
        <v>35.9</v>
      </c>
      <c r="L692" s="51">
        <f ca="1">TRUNC((TODAY()-tBase[[#This Row],[Data Nascimento]])/365)</f>
        <v>44</v>
      </c>
      <c r="M692" s="49" t="str">
        <f ca="1">HLOOKUP(tBase[[#This Row],[Idade]],$P$7:$S$8,2,TRUE)</f>
        <v>44 - 54</v>
      </c>
    </row>
    <row r="693" spans="2:13">
      <c r="B693" s="48">
        <v>51680460346</v>
      </c>
      <c r="C693" s="49" t="s">
        <v>390</v>
      </c>
      <c r="D693" s="49" t="s">
        <v>43</v>
      </c>
      <c r="E693" s="49" t="s">
        <v>291</v>
      </c>
      <c r="F693" s="49" t="s">
        <v>15</v>
      </c>
      <c r="G693" s="49" t="s">
        <v>32</v>
      </c>
      <c r="H693" s="11">
        <v>32813</v>
      </c>
      <c r="I693" s="11" t="s">
        <v>19</v>
      </c>
      <c r="J693" s="49" t="s">
        <v>44</v>
      </c>
      <c r="K693" s="50">
        <v>35.9</v>
      </c>
      <c r="L693" s="51">
        <f ca="1">TRUNC((TODAY()-tBase[[#This Row],[Data Nascimento]])/365)</f>
        <v>36</v>
      </c>
      <c r="M693" s="49" t="str">
        <f ca="1">HLOOKUP(tBase[[#This Row],[Idade]],$P$7:$S$8,2,TRUE)</f>
        <v>35 - 44</v>
      </c>
    </row>
    <row r="694" spans="2:13">
      <c r="B694" s="48">
        <v>24163969033</v>
      </c>
      <c r="C694" s="49" t="s">
        <v>391</v>
      </c>
      <c r="D694" s="49" t="s">
        <v>43</v>
      </c>
      <c r="E694" s="49" t="s">
        <v>291</v>
      </c>
      <c r="F694" s="49" t="s">
        <v>15</v>
      </c>
      <c r="G694" s="49" t="s">
        <v>32</v>
      </c>
      <c r="H694" s="11">
        <v>34294</v>
      </c>
      <c r="I694" s="11" t="s">
        <v>72</v>
      </c>
      <c r="J694" s="49" t="s">
        <v>18</v>
      </c>
      <c r="K694" s="50">
        <v>9.9</v>
      </c>
      <c r="L694" s="51">
        <f ca="1">TRUNC((TODAY()-tBase[[#This Row],[Data Nascimento]])/365)</f>
        <v>32</v>
      </c>
      <c r="M694" s="49" t="str">
        <f ca="1">HLOOKUP(tBase[[#This Row],[Idade]],$P$7:$S$8,2,TRUE)</f>
        <v>24-34</v>
      </c>
    </row>
    <row r="695" spans="2:13">
      <c r="B695" s="48">
        <v>89439201236</v>
      </c>
      <c r="C695" s="49" t="s">
        <v>391</v>
      </c>
      <c r="D695" s="49" t="s">
        <v>43</v>
      </c>
      <c r="E695" s="49" t="s">
        <v>291</v>
      </c>
      <c r="F695" s="49" t="s">
        <v>15</v>
      </c>
      <c r="G695" s="49" t="s">
        <v>32</v>
      </c>
      <c r="H695" s="11">
        <v>28810</v>
      </c>
      <c r="I695" s="11" t="s">
        <v>36</v>
      </c>
      <c r="J695" s="49" t="s">
        <v>18</v>
      </c>
      <c r="K695" s="50">
        <v>9.9</v>
      </c>
      <c r="L695" s="51">
        <f ca="1">TRUNC((TODAY()-tBase[[#This Row],[Data Nascimento]])/365)</f>
        <v>47</v>
      </c>
      <c r="M695" s="49" t="str">
        <f ca="1">HLOOKUP(tBase[[#This Row],[Idade]],$P$7:$S$8,2,TRUE)</f>
        <v>44 - 54</v>
      </c>
    </row>
    <row r="696" spans="2:13">
      <c r="B696" s="48">
        <v>51192158500</v>
      </c>
      <c r="C696" s="49" t="s">
        <v>392</v>
      </c>
      <c r="D696" s="49" t="s">
        <v>43</v>
      </c>
      <c r="E696" s="49" t="s">
        <v>291</v>
      </c>
      <c r="F696" s="49" t="s">
        <v>31</v>
      </c>
      <c r="G696" s="49" t="s">
        <v>32</v>
      </c>
      <c r="H696" s="11">
        <v>20090</v>
      </c>
      <c r="I696" s="11" t="s">
        <v>17</v>
      </c>
      <c r="J696" s="49" t="s">
        <v>33</v>
      </c>
      <c r="K696" s="50">
        <v>79.900000000000006</v>
      </c>
      <c r="L696" s="51">
        <f ca="1">TRUNC((TODAY()-tBase[[#This Row],[Data Nascimento]])/365)</f>
        <v>71</v>
      </c>
      <c r="M696" s="49" t="str">
        <f ca="1">HLOOKUP(tBase[[#This Row],[Idade]],$P$7:$S$8,2,TRUE)</f>
        <v>54-70</v>
      </c>
    </row>
    <row r="697" spans="2:13">
      <c r="B697" s="48">
        <v>57367066989</v>
      </c>
      <c r="C697" s="49" t="s">
        <v>392</v>
      </c>
      <c r="D697" s="49" t="s">
        <v>43</v>
      </c>
      <c r="E697" s="49" t="s">
        <v>291</v>
      </c>
      <c r="F697" s="49" t="s">
        <v>31</v>
      </c>
      <c r="G697" s="49" t="s">
        <v>32</v>
      </c>
      <c r="H697" s="11">
        <v>24235</v>
      </c>
      <c r="I697" s="11" t="s">
        <v>46</v>
      </c>
      <c r="J697" s="49" t="s">
        <v>33</v>
      </c>
      <c r="K697" s="50">
        <v>79.900000000000006</v>
      </c>
      <c r="L697" s="51">
        <f ca="1">TRUNC((TODAY()-tBase[[#This Row],[Data Nascimento]])/365)</f>
        <v>59</v>
      </c>
      <c r="M697" s="49" t="str">
        <f ca="1">HLOOKUP(tBase[[#This Row],[Idade]],$P$7:$S$8,2,TRUE)</f>
        <v>54-70</v>
      </c>
    </row>
    <row r="698" spans="2:13">
      <c r="B698" s="48">
        <v>54198810657</v>
      </c>
      <c r="C698" s="49" t="s">
        <v>393</v>
      </c>
      <c r="D698" s="49" t="s">
        <v>43</v>
      </c>
      <c r="E698" s="49" t="s">
        <v>291</v>
      </c>
      <c r="F698" s="49" t="s">
        <v>62</v>
      </c>
      <c r="G698" s="49" t="s">
        <v>16</v>
      </c>
      <c r="H698" s="11">
        <v>34828</v>
      </c>
      <c r="I698" s="11" t="s">
        <v>21</v>
      </c>
      <c r="J698" s="49" t="s">
        <v>18</v>
      </c>
      <c r="K698" s="50">
        <v>9.9</v>
      </c>
      <c r="L698" s="51">
        <f ca="1">TRUNC((TODAY()-tBase[[#This Row],[Data Nascimento]])/365)</f>
        <v>30</v>
      </c>
      <c r="M698" s="49" t="str">
        <f ca="1">HLOOKUP(tBase[[#This Row],[Idade]],$P$7:$S$8,2,TRUE)</f>
        <v>24-34</v>
      </c>
    </row>
    <row r="699" spans="2:13">
      <c r="B699" s="48">
        <v>95596945437</v>
      </c>
      <c r="C699" s="49" t="s">
        <v>393</v>
      </c>
      <c r="D699" s="49" t="s">
        <v>43</v>
      </c>
      <c r="E699" s="49" t="s">
        <v>291</v>
      </c>
      <c r="F699" s="49" t="s">
        <v>62</v>
      </c>
      <c r="G699" s="49" t="s">
        <v>16</v>
      </c>
      <c r="H699" s="11">
        <v>35092</v>
      </c>
      <c r="I699" s="11" t="s">
        <v>54</v>
      </c>
      <c r="J699" s="49" t="s">
        <v>18</v>
      </c>
      <c r="K699" s="50">
        <v>9.9</v>
      </c>
      <c r="L699" s="51">
        <f ca="1">TRUNC((TODAY()-tBase[[#This Row],[Data Nascimento]])/365)</f>
        <v>30</v>
      </c>
      <c r="M699" s="49" t="str">
        <f ca="1">HLOOKUP(tBase[[#This Row],[Idade]],$P$7:$S$8,2,TRUE)</f>
        <v>24-34</v>
      </c>
    </row>
    <row r="700" spans="2:13">
      <c r="B700" s="48">
        <v>33625332262</v>
      </c>
      <c r="C700" s="49" t="s">
        <v>394</v>
      </c>
      <c r="D700" s="49" t="s">
        <v>43</v>
      </c>
      <c r="E700" s="49" t="s">
        <v>291</v>
      </c>
      <c r="F700" s="49" t="s">
        <v>38</v>
      </c>
      <c r="G700" s="49" t="s">
        <v>16</v>
      </c>
      <c r="H700" s="11">
        <v>25523</v>
      </c>
      <c r="I700" s="11" t="s">
        <v>24</v>
      </c>
      <c r="J700" s="49" t="s">
        <v>44</v>
      </c>
      <c r="K700" s="50">
        <v>35.9</v>
      </c>
      <c r="L700" s="51">
        <f ca="1">TRUNC((TODAY()-tBase[[#This Row],[Data Nascimento]])/365)</f>
        <v>56</v>
      </c>
      <c r="M700" s="49" t="str">
        <f ca="1">HLOOKUP(tBase[[#This Row],[Idade]],$P$7:$S$8,2,TRUE)</f>
        <v>54-70</v>
      </c>
    </row>
    <row r="701" spans="2:13">
      <c r="B701" s="48">
        <v>96690867763</v>
      </c>
      <c r="C701" s="49" t="s">
        <v>394</v>
      </c>
      <c r="D701" s="49" t="s">
        <v>43</v>
      </c>
      <c r="E701" s="49" t="s">
        <v>291</v>
      </c>
      <c r="F701" s="49" t="s">
        <v>38</v>
      </c>
      <c r="G701" s="49" t="s">
        <v>52</v>
      </c>
      <c r="H701" s="11">
        <v>23740</v>
      </c>
      <c r="I701" s="11" t="s">
        <v>17</v>
      </c>
      <c r="J701" s="49" t="s">
        <v>44</v>
      </c>
      <c r="K701" s="50">
        <v>35.9</v>
      </c>
      <c r="L701" s="51">
        <f ca="1">TRUNC((TODAY()-tBase[[#This Row],[Data Nascimento]])/365)</f>
        <v>61</v>
      </c>
      <c r="M701" s="49" t="str">
        <f ca="1">HLOOKUP(tBase[[#This Row],[Idade]],$P$7:$S$8,2,TRUE)</f>
        <v>54-70</v>
      </c>
    </row>
    <row r="702" spans="2:13">
      <c r="B702" s="48">
        <v>35961398099</v>
      </c>
      <c r="C702" s="49" t="s">
        <v>395</v>
      </c>
      <c r="D702" s="49" t="s">
        <v>43</v>
      </c>
      <c r="E702" s="49" t="s">
        <v>291</v>
      </c>
      <c r="F702" s="49" t="s">
        <v>31</v>
      </c>
      <c r="G702" s="49" t="s">
        <v>32</v>
      </c>
      <c r="H702" s="11">
        <v>28851</v>
      </c>
      <c r="I702" s="11" t="s">
        <v>19</v>
      </c>
      <c r="J702" s="49" t="s">
        <v>33</v>
      </c>
      <c r="K702" s="50">
        <v>79.900000000000006</v>
      </c>
      <c r="L702" s="51">
        <f ca="1">TRUNC((TODAY()-tBase[[#This Row],[Data Nascimento]])/365)</f>
        <v>47</v>
      </c>
      <c r="M702" s="49" t="str">
        <f ca="1">HLOOKUP(tBase[[#This Row],[Idade]],$P$7:$S$8,2,TRUE)</f>
        <v>44 - 54</v>
      </c>
    </row>
    <row r="703" spans="2:13">
      <c r="B703" s="48">
        <v>59847163476</v>
      </c>
      <c r="C703" s="49" t="s">
        <v>395</v>
      </c>
      <c r="D703" s="49" t="s">
        <v>43</v>
      </c>
      <c r="E703" s="49" t="s">
        <v>291</v>
      </c>
      <c r="F703" s="49" t="s">
        <v>31</v>
      </c>
      <c r="G703" s="49" t="s">
        <v>32</v>
      </c>
      <c r="H703" s="11">
        <v>28138</v>
      </c>
      <c r="I703" s="11" t="s">
        <v>17</v>
      </c>
      <c r="J703" s="49" t="s">
        <v>33</v>
      </c>
      <c r="K703" s="50">
        <v>79.900000000000006</v>
      </c>
      <c r="L703" s="51">
        <f ca="1">TRUNC((TODAY()-tBase[[#This Row],[Data Nascimento]])/365)</f>
        <v>49</v>
      </c>
      <c r="M703" s="49" t="str">
        <f ca="1">HLOOKUP(tBase[[#This Row],[Idade]],$P$7:$S$8,2,TRUE)</f>
        <v>44 - 54</v>
      </c>
    </row>
    <row r="704" spans="2:13">
      <c r="B704" s="48">
        <v>29127263778</v>
      </c>
      <c r="C704" s="49" t="s">
        <v>396</v>
      </c>
      <c r="D704" s="49" t="s">
        <v>43</v>
      </c>
      <c r="E704" s="49" t="s">
        <v>291</v>
      </c>
      <c r="F704" s="49" t="s">
        <v>59</v>
      </c>
      <c r="G704" s="49" t="s">
        <v>16</v>
      </c>
      <c r="H704" s="11">
        <v>29244</v>
      </c>
      <c r="I704" s="11" t="s">
        <v>17</v>
      </c>
      <c r="J704" s="49" t="s">
        <v>44</v>
      </c>
      <c r="K704" s="50">
        <v>35.9</v>
      </c>
      <c r="L704" s="51">
        <f ca="1">TRUNC((TODAY()-tBase[[#This Row],[Data Nascimento]])/365)</f>
        <v>46</v>
      </c>
      <c r="M704" s="49" t="str">
        <f ca="1">HLOOKUP(tBase[[#This Row],[Idade]],$P$7:$S$8,2,TRUE)</f>
        <v>44 - 54</v>
      </c>
    </row>
    <row r="705" spans="2:13">
      <c r="B705" s="48">
        <v>81986544000</v>
      </c>
      <c r="C705" s="49" t="s">
        <v>396</v>
      </c>
      <c r="D705" s="49" t="s">
        <v>43</v>
      </c>
      <c r="E705" s="49" t="s">
        <v>291</v>
      </c>
      <c r="F705" s="49" t="s">
        <v>59</v>
      </c>
      <c r="G705" s="49" t="s">
        <v>16</v>
      </c>
      <c r="H705" s="11">
        <v>30529</v>
      </c>
      <c r="I705" s="11" t="s">
        <v>17</v>
      </c>
      <c r="J705" s="49" t="s">
        <v>44</v>
      </c>
      <c r="K705" s="50">
        <v>35.9</v>
      </c>
      <c r="L705" s="51">
        <f ca="1">TRUNC((TODAY()-tBase[[#This Row],[Data Nascimento]])/365)</f>
        <v>42</v>
      </c>
      <c r="M705" s="49" t="str">
        <f ca="1">HLOOKUP(tBase[[#This Row],[Idade]],$P$7:$S$8,2,TRUE)</f>
        <v>35 - 44</v>
      </c>
    </row>
    <row r="706" spans="2:13">
      <c r="B706" s="48">
        <v>49391829352</v>
      </c>
      <c r="C706" s="49" t="s">
        <v>397</v>
      </c>
      <c r="D706" s="49" t="s">
        <v>43</v>
      </c>
      <c r="E706" s="49" t="s">
        <v>291</v>
      </c>
      <c r="F706" s="49" t="s">
        <v>15</v>
      </c>
      <c r="G706" s="49" t="s">
        <v>32</v>
      </c>
      <c r="H706" s="11">
        <v>30122</v>
      </c>
      <c r="I706" s="11" t="s">
        <v>24</v>
      </c>
      <c r="J706" s="49" t="s">
        <v>44</v>
      </c>
      <c r="K706" s="50">
        <v>35.9</v>
      </c>
      <c r="L706" s="51">
        <f ca="1">TRUNC((TODAY()-tBase[[#This Row],[Data Nascimento]])/365)</f>
        <v>43</v>
      </c>
      <c r="M706" s="49" t="str">
        <f ca="1">HLOOKUP(tBase[[#This Row],[Idade]],$P$7:$S$8,2,TRUE)</f>
        <v>35 - 44</v>
      </c>
    </row>
    <row r="707" spans="2:13">
      <c r="B707" s="48">
        <v>65344117273</v>
      </c>
      <c r="C707" s="49" t="s">
        <v>397</v>
      </c>
      <c r="D707" s="49" t="s">
        <v>43</v>
      </c>
      <c r="E707" s="49" t="s">
        <v>291</v>
      </c>
      <c r="F707" s="49" t="s">
        <v>15</v>
      </c>
      <c r="G707" s="49" t="s">
        <v>32</v>
      </c>
      <c r="H707" s="11">
        <v>25396</v>
      </c>
      <c r="I707" s="11" t="s">
        <v>19</v>
      </c>
      <c r="J707" s="49" t="s">
        <v>44</v>
      </c>
      <c r="K707" s="50">
        <v>35.9</v>
      </c>
      <c r="L707" s="51">
        <f ca="1">TRUNC((TODAY()-tBase[[#This Row],[Data Nascimento]])/365)</f>
        <v>56</v>
      </c>
      <c r="M707" s="49" t="str">
        <f ca="1">HLOOKUP(tBase[[#This Row],[Idade]],$P$7:$S$8,2,TRUE)</f>
        <v>54-70</v>
      </c>
    </row>
    <row r="708" spans="2:13">
      <c r="B708" s="48">
        <v>23003948004</v>
      </c>
      <c r="C708" s="49" t="s">
        <v>398</v>
      </c>
      <c r="D708" s="49" t="s">
        <v>43</v>
      </c>
      <c r="E708" s="49" t="s">
        <v>291</v>
      </c>
      <c r="F708" s="49" t="s">
        <v>59</v>
      </c>
      <c r="G708" s="49" t="s">
        <v>16</v>
      </c>
      <c r="H708" s="11">
        <v>34879</v>
      </c>
      <c r="I708" s="11" t="s">
        <v>17</v>
      </c>
      <c r="J708" s="49" t="s">
        <v>44</v>
      </c>
      <c r="K708" s="50">
        <v>35.9</v>
      </c>
      <c r="L708" s="51">
        <f ca="1">TRUNC((TODAY()-tBase[[#This Row],[Data Nascimento]])/365)</f>
        <v>30</v>
      </c>
      <c r="M708" s="49" t="str">
        <f ca="1">HLOOKUP(tBase[[#This Row],[Idade]],$P$7:$S$8,2,TRUE)</f>
        <v>24-34</v>
      </c>
    </row>
    <row r="709" spans="2:13">
      <c r="B709" s="48">
        <v>48816102229</v>
      </c>
      <c r="C709" s="49" t="s">
        <v>398</v>
      </c>
      <c r="D709" s="49" t="s">
        <v>43</v>
      </c>
      <c r="E709" s="49" t="s">
        <v>291</v>
      </c>
      <c r="F709" s="49" t="s">
        <v>59</v>
      </c>
      <c r="G709" s="49" t="s">
        <v>16</v>
      </c>
      <c r="H709" s="11">
        <v>29339</v>
      </c>
      <c r="I709" s="11" t="s">
        <v>19</v>
      </c>
      <c r="J709" s="49" t="s">
        <v>44</v>
      </c>
      <c r="K709" s="50">
        <v>35.9</v>
      </c>
      <c r="L709" s="51">
        <f ca="1">TRUNC((TODAY()-tBase[[#This Row],[Data Nascimento]])/365)</f>
        <v>45</v>
      </c>
      <c r="M709" s="49" t="str">
        <f ca="1">HLOOKUP(tBase[[#This Row],[Idade]],$P$7:$S$8,2,TRUE)</f>
        <v>44 - 54</v>
      </c>
    </row>
    <row r="710" spans="2:13">
      <c r="B710" s="48">
        <v>29997693161</v>
      </c>
      <c r="C710" s="49" t="s">
        <v>399</v>
      </c>
      <c r="D710" s="49" t="s">
        <v>43</v>
      </c>
      <c r="E710" s="49" t="s">
        <v>291</v>
      </c>
      <c r="F710" s="49" t="s">
        <v>38</v>
      </c>
      <c r="G710" s="49" t="s">
        <v>52</v>
      </c>
      <c r="H710" s="11">
        <v>28778</v>
      </c>
      <c r="I710" s="11" t="s">
        <v>17</v>
      </c>
      <c r="J710" s="49" t="s">
        <v>18</v>
      </c>
      <c r="K710" s="50">
        <v>9.9</v>
      </c>
      <c r="L710" s="51">
        <f ca="1">TRUNC((TODAY()-tBase[[#This Row],[Data Nascimento]])/365)</f>
        <v>47</v>
      </c>
      <c r="M710" s="49" t="str">
        <f ca="1">HLOOKUP(tBase[[#This Row],[Idade]],$P$7:$S$8,2,TRUE)</f>
        <v>44 - 54</v>
      </c>
    </row>
    <row r="711" spans="2:13">
      <c r="B711" s="48">
        <v>48559982420</v>
      </c>
      <c r="C711" s="49" t="s">
        <v>399</v>
      </c>
      <c r="D711" s="49" t="s">
        <v>43</v>
      </c>
      <c r="E711" s="49" t="s">
        <v>291</v>
      </c>
      <c r="F711" s="49" t="s">
        <v>38</v>
      </c>
      <c r="G711" s="49" t="s">
        <v>52</v>
      </c>
      <c r="H711" s="11">
        <v>23769</v>
      </c>
      <c r="I711" s="11" t="s">
        <v>36</v>
      </c>
      <c r="J711" s="49" t="s">
        <v>18</v>
      </c>
      <c r="K711" s="50">
        <v>9.9</v>
      </c>
      <c r="L711" s="51">
        <f ca="1">TRUNC((TODAY()-tBase[[#This Row],[Data Nascimento]])/365)</f>
        <v>61</v>
      </c>
      <c r="M711" s="49" t="str">
        <f ca="1">HLOOKUP(tBase[[#This Row],[Idade]],$P$7:$S$8,2,TRUE)</f>
        <v>54-70</v>
      </c>
    </row>
    <row r="712" spans="2:13">
      <c r="B712" s="48">
        <v>50820733116</v>
      </c>
      <c r="C712" s="49" t="s">
        <v>400</v>
      </c>
      <c r="D712" s="49" t="s">
        <v>43</v>
      </c>
      <c r="E712" s="49" t="s">
        <v>291</v>
      </c>
      <c r="F712" s="49" t="s">
        <v>40</v>
      </c>
      <c r="G712" s="49" t="s">
        <v>32</v>
      </c>
      <c r="H712" s="11">
        <v>20810</v>
      </c>
      <c r="I712" s="11" t="s">
        <v>17</v>
      </c>
      <c r="J712" s="49" t="s">
        <v>41</v>
      </c>
      <c r="K712" s="50">
        <v>29.9</v>
      </c>
      <c r="L712" s="51">
        <f ca="1">TRUNC((TODAY()-tBase[[#This Row],[Data Nascimento]])/365)</f>
        <v>69</v>
      </c>
      <c r="M712" s="49" t="str">
        <f ca="1">HLOOKUP(tBase[[#This Row],[Idade]],$P$7:$S$8,2,TRUE)</f>
        <v>54-70</v>
      </c>
    </row>
    <row r="713" spans="2:13">
      <c r="B713" s="48">
        <v>56213600806</v>
      </c>
      <c r="C713" s="49" t="s">
        <v>400</v>
      </c>
      <c r="D713" s="49" t="s">
        <v>43</v>
      </c>
      <c r="E713" s="49" t="s">
        <v>291</v>
      </c>
      <c r="F713" s="49" t="s">
        <v>40</v>
      </c>
      <c r="G713" s="49" t="s">
        <v>32</v>
      </c>
      <c r="H713" s="11">
        <v>29235</v>
      </c>
      <c r="I713" s="11" t="s">
        <v>17</v>
      </c>
      <c r="J713" s="49" t="s">
        <v>41</v>
      </c>
      <c r="K713" s="50">
        <v>29.9</v>
      </c>
      <c r="L713" s="51">
        <f ca="1">TRUNC((TODAY()-tBase[[#This Row],[Data Nascimento]])/365)</f>
        <v>46</v>
      </c>
      <c r="M713" s="49" t="str">
        <f ca="1">HLOOKUP(tBase[[#This Row],[Idade]],$P$7:$S$8,2,TRUE)</f>
        <v>44 - 54</v>
      </c>
    </row>
    <row r="714" spans="2:13">
      <c r="B714" s="48">
        <v>34687761738</v>
      </c>
      <c r="C714" s="49" t="s">
        <v>401</v>
      </c>
      <c r="D714" s="49" t="s">
        <v>43</v>
      </c>
      <c r="E714" s="49" t="s">
        <v>291</v>
      </c>
      <c r="F714" s="49" t="s">
        <v>38</v>
      </c>
      <c r="G714" s="49" t="s">
        <v>16</v>
      </c>
      <c r="H714" s="11">
        <v>28678</v>
      </c>
      <c r="I714" s="11" t="s">
        <v>21</v>
      </c>
      <c r="J714" s="49" t="s">
        <v>41</v>
      </c>
      <c r="K714" s="50">
        <v>29.9</v>
      </c>
      <c r="L714" s="51">
        <f ca="1">TRUNC((TODAY()-tBase[[#This Row],[Data Nascimento]])/365)</f>
        <v>47</v>
      </c>
      <c r="M714" s="49" t="str">
        <f ca="1">HLOOKUP(tBase[[#This Row],[Idade]],$P$7:$S$8,2,TRUE)</f>
        <v>44 - 54</v>
      </c>
    </row>
    <row r="715" spans="2:13">
      <c r="B715" s="48">
        <v>97361141928</v>
      </c>
      <c r="C715" s="49" t="s">
        <v>401</v>
      </c>
      <c r="D715" s="49" t="s">
        <v>43</v>
      </c>
      <c r="E715" s="49" t="s">
        <v>291</v>
      </c>
      <c r="F715" s="49" t="s">
        <v>38</v>
      </c>
      <c r="G715" s="49" t="s">
        <v>52</v>
      </c>
      <c r="H715" s="11">
        <v>32123</v>
      </c>
      <c r="I715" s="11" t="s">
        <v>17</v>
      </c>
      <c r="J715" s="49" t="s">
        <v>41</v>
      </c>
      <c r="K715" s="50">
        <v>29.9</v>
      </c>
      <c r="L715" s="51">
        <f ca="1">TRUNC((TODAY()-tBase[[#This Row],[Data Nascimento]])/365)</f>
        <v>38</v>
      </c>
      <c r="M715" s="49" t="str">
        <f ca="1">HLOOKUP(tBase[[#This Row],[Idade]],$P$7:$S$8,2,TRUE)</f>
        <v>35 - 44</v>
      </c>
    </row>
    <row r="716" spans="2:13">
      <c r="B716" s="48">
        <v>35527656936</v>
      </c>
      <c r="C716" s="49" t="s">
        <v>402</v>
      </c>
      <c r="D716" s="49" t="s">
        <v>43</v>
      </c>
      <c r="E716" s="49" t="s">
        <v>291</v>
      </c>
      <c r="F716" s="49" t="s">
        <v>38</v>
      </c>
      <c r="G716" s="49" t="s">
        <v>32</v>
      </c>
      <c r="H716" s="11">
        <v>34788</v>
      </c>
      <c r="I716" s="11" t="s">
        <v>17</v>
      </c>
      <c r="J716" s="49" t="s">
        <v>41</v>
      </c>
      <c r="K716" s="50">
        <v>29.9</v>
      </c>
      <c r="L716" s="51">
        <f ca="1">TRUNC((TODAY()-tBase[[#This Row],[Data Nascimento]])/365)</f>
        <v>31</v>
      </c>
      <c r="M716" s="49" t="str">
        <f ca="1">HLOOKUP(tBase[[#This Row],[Idade]],$P$7:$S$8,2,TRUE)</f>
        <v>24-34</v>
      </c>
    </row>
    <row r="717" spans="2:13">
      <c r="B717" s="48">
        <v>77517679683</v>
      </c>
      <c r="C717" s="49" t="s">
        <v>402</v>
      </c>
      <c r="D717" s="49" t="s">
        <v>43</v>
      </c>
      <c r="E717" s="49" t="s">
        <v>291</v>
      </c>
      <c r="F717" s="49" t="s">
        <v>38</v>
      </c>
      <c r="G717" s="49" t="s">
        <v>32</v>
      </c>
      <c r="H717" s="11">
        <v>33473</v>
      </c>
      <c r="I717" s="11" t="s">
        <v>19</v>
      </c>
      <c r="J717" s="49" t="s">
        <v>41</v>
      </c>
      <c r="K717" s="50">
        <v>29.9</v>
      </c>
      <c r="L717" s="51">
        <f ca="1">TRUNC((TODAY()-tBase[[#This Row],[Data Nascimento]])/365)</f>
        <v>34</v>
      </c>
      <c r="M717" s="49" t="str">
        <f ca="1">HLOOKUP(tBase[[#This Row],[Idade]],$P$7:$S$8,2,TRUE)</f>
        <v>24-34</v>
      </c>
    </row>
    <row r="718" spans="2:13">
      <c r="B718" s="48">
        <v>52340215967</v>
      </c>
      <c r="C718" s="49" t="s">
        <v>403</v>
      </c>
      <c r="D718" s="49" t="s">
        <v>43</v>
      </c>
      <c r="E718" s="49" t="s">
        <v>291</v>
      </c>
      <c r="F718" s="49" t="s">
        <v>38</v>
      </c>
      <c r="G718" s="49" t="s">
        <v>16</v>
      </c>
      <c r="H718" s="11">
        <v>22742</v>
      </c>
      <c r="I718" s="11" t="s">
        <v>46</v>
      </c>
      <c r="J718" s="49" t="s">
        <v>44</v>
      </c>
      <c r="K718" s="50">
        <v>35.9</v>
      </c>
      <c r="L718" s="51">
        <f ca="1">TRUNC((TODAY()-tBase[[#This Row],[Data Nascimento]])/365)</f>
        <v>64</v>
      </c>
      <c r="M718" s="49" t="str">
        <f ca="1">HLOOKUP(tBase[[#This Row],[Idade]],$P$7:$S$8,2,TRUE)</f>
        <v>54-70</v>
      </c>
    </row>
    <row r="719" spans="2:13">
      <c r="B719" s="48">
        <v>58747813272</v>
      </c>
      <c r="C719" s="49" t="s">
        <v>403</v>
      </c>
      <c r="D719" s="49" t="s">
        <v>43</v>
      </c>
      <c r="E719" s="49" t="s">
        <v>291</v>
      </c>
      <c r="F719" s="49" t="s">
        <v>38</v>
      </c>
      <c r="G719" s="49" t="s">
        <v>16</v>
      </c>
      <c r="H719" s="11">
        <v>28992</v>
      </c>
      <c r="I719" s="11" t="s">
        <v>24</v>
      </c>
      <c r="J719" s="49" t="s">
        <v>44</v>
      </c>
      <c r="K719" s="50">
        <v>35.9</v>
      </c>
      <c r="L719" s="51">
        <f ca="1">TRUNC((TODAY()-tBase[[#This Row],[Data Nascimento]])/365)</f>
        <v>46</v>
      </c>
      <c r="M719" s="49" t="str">
        <f ca="1">HLOOKUP(tBase[[#This Row],[Idade]],$P$7:$S$8,2,TRUE)</f>
        <v>44 - 54</v>
      </c>
    </row>
    <row r="720" spans="2:13">
      <c r="B720" s="48">
        <v>55350189669</v>
      </c>
      <c r="C720" s="49" t="s">
        <v>404</v>
      </c>
      <c r="D720" s="49" t="s">
        <v>43</v>
      </c>
      <c r="E720" s="49" t="s">
        <v>291</v>
      </c>
      <c r="F720" s="49" t="s">
        <v>15</v>
      </c>
      <c r="G720" s="49" t="s">
        <v>52</v>
      </c>
      <c r="H720" s="11">
        <v>21023</v>
      </c>
      <c r="I720" s="11" t="s">
        <v>19</v>
      </c>
      <c r="J720" s="49" t="s">
        <v>41</v>
      </c>
      <c r="K720" s="50">
        <v>29.9</v>
      </c>
      <c r="L720" s="51">
        <f ca="1">TRUNC((TODAY()-tBase[[#This Row],[Data Nascimento]])/365)</f>
        <v>68</v>
      </c>
      <c r="M720" s="49" t="str">
        <f ca="1">HLOOKUP(tBase[[#This Row],[Idade]],$P$7:$S$8,2,TRUE)</f>
        <v>54-70</v>
      </c>
    </row>
    <row r="721" spans="2:13">
      <c r="B721" s="48">
        <v>79152697017</v>
      </c>
      <c r="C721" s="49" t="s">
        <v>404</v>
      </c>
      <c r="D721" s="49" t="s">
        <v>43</v>
      </c>
      <c r="E721" s="49" t="s">
        <v>291</v>
      </c>
      <c r="F721" s="49" t="s">
        <v>15</v>
      </c>
      <c r="G721" s="49" t="s">
        <v>52</v>
      </c>
      <c r="H721" s="11">
        <v>31815</v>
      </c>
      <c r="I721" s="11" t="s">
        <v>17</v>
      </c>
      <c r="J721" s="49" t="s">
        <v>41</v>
      </c>
      <c r="K721" s="50">
        <v>29.9</v>
      </c>
      <c r="L721" s="51">
        <f ca="1">TRUNC((TODAY()-tBase[[#This Row],[Data Nascimento]])/365)</f>
        <v>39</v>
      </c>
      <c r="M721" s="49" t="str">
        <f ca="1">HLOOKUP(tBase[[#This Row],[Idade]],$P$7:$S$8,2,TRUE)</f>
        <v>35 - 44</v>
      </c>
    </row>
    <row r="722" spans="2:13">
      <c r="B722" s="48">
        <v>25186825602</v>
      </c>
      <c r="C722" s="49" t="s">
        <v>405</v>
      </c>
      <c r="D722" s="49" t="s">
        <v>43</v>
      </c>
      <c r="E722" s="49" t="s">
        <v>291</v>
      </c>
      <c r="F722" s="49" t="s">
        <v>38</v>
      </c>
      <c r="G722" s="49" t="s">
        <v>16</v>
      </c>
      <c r="H722" s="11">
        <v>23124</v>
      </c>
      <c r="I722" s="11" t="s">
        <v>17</v>
      </c>
      <c r="J722" s="49" t="s">
        <v>41</v>
      </c>
      <c r="K722" s="50">
        <v>29.9</v>
      </c>
      <c r="L722" s="51">
        <f ca="1">TRUNC((TODAY()-tBase[[#This Row],[Data Nascimento]])/365)</f>
        <v>62</v>
      </c>
      <c r="M722" s="49" t="str">
        <f ca="1">HLOOKUP(tBase[[#This Row],[Idade]],$P$7:$S$8,2,TRUE)</f>
        <v>54-70</v>
      </c>
    </row>
    <row r="723" spans="2:13">
      <c r="B723" s="48">
        <v>87436471754</v>
      </c>
      <c r="C723" s="49" t="s">
        <v>405</v>
      </c>
      <c r="D723" s="49" t="s">
        <v>43</v>
      </c>
      <c r="E723" s="49" t="s">
        <v>291</v>
      </c>
      <c r="F723" s="49" t="s">
        <v>38</v>
      </c>
      <c r="G723" s="49" t="s">
        <v>16</v>
      </c>
      <c r="H723" s="11">
        <v>21950</v>
      </c>
      <c r="I723" s="11" t="s">
        <v>19</v>
      </c>
      <c r="J723" s="49" t="s">
        <v>41</v>
      </c>
      <c r="K723" s="50">
        <v>29.9</v>
      </c>
      <c r="L723" s="51">
        <f ca="1">TRUNC((TODAY()-tBase[[#This Row],[Data Nascimento]])/365)</f>
        <v>66</v>
      </c>
      <c r="M723" s="49" t="str">
        <f ca="1">HLOOKUP(tBase[[#This Row],[Idade]],$P$7:$S$8,2,TRUE)</f>
        <v>54-70</v>
      </c>
    </row>
    <row r="724" spans="2:13">
      <c r="B724" s="48">
        <v>48822792088</v>
      </c>
      <c r="C724" s="49" t="s">
        <v>406</v>
      </c>
      <c r="D724" s="49" t="s">
        <v>43</v>
      </c>
      <c r="E724" s="49" t="s">
        <v>291</v>
      </c>
      <c r="F724" s="49" t="s">
        <v>38</v>
      </c>
      <c r="G724" s="49" t="s">
        <v>16</v>
      </c>
      <c r="H724" s="11">
        <v>30743</v>
      </c>
      <c r="I724" s="11" t="s">
        <v>21</v>
      </c>
      <c r="J724" s="49" t="s">
        <v>18</v>
      </c>
      <c r="K724" s="50">
        <v>9.9</v>
      </c>
      <c r="L724" s="51">
        <f ca="1">TRUNC((TODAY()-tBase[[#This Row],[Data Nascimento]])/365)</f>
        <v>42</v>
      </c>
      <c r="M724" s="49" t="str">
        <f ca="1">HLOOKUP(tBase[[#This Row],[Idade]],$P$7:$S$8,2,TRUE)</f>
        <v>35 - 44</v>
      </c>
    </row>
    <row r="725" spans="2:13">
      <c r="B725" s="48">
        <v>91279323809</v>
      </c>
      <c r="C725" s="49" t="s">
        <v>406</v>
      </c>
      <c r="D725" s="49" t="s">
        <v>43</v>
      </c>
      <c r="E725" s="49" t="s">
        <v>291</v>
      </c>
      <c r="F725" s="49" t="s">
        <v>38</v>
      </c>
      <c r="G725" s="49" t="s">
        <v>16</v>
      </c>
      <c r="H725" s="11">
        <v>27443</v>
      </c>
      <c r="I725" s="11" t="s">
        <v>17</v>
      </c>
      <c r="J725" s="49" t="s">
        <v>18</v>
      </c>
      <c r="K725" s="50">
        <v>9.9</v>
      </c>
      <c r="L725" s="51">
        <f ca="1">TRUNC((TODAY()-tBase[[#This Row],[Data Nascimento]])/365)</f>
        <v>51</v>
      </c>
      <c r="M725" s="49" t="str">
        <f ca="1">HLOOKUP(tBase[[#This Row],[Idade]],$P$7:$S$8,2,TRUE)</f>
        <v>44 - 54</v>
      </c>
    </row>
    <row r="726" spans="2:13">
      <c r="B726" s="48">
        <v>31841604153</v>
      </c>
      <c r="C726" s="49" t="s">
        <v>407</v>
      </c>
      <c r="D726" s="49" t="s">
        <v>43</v>
      </c>
      <c r="E726" s="49" t="s">
        <v>291</v>
      </c>
      <c r="F726" s="49" t="s">
        <v>40</v>
      </c>
      <c r="G726" s="49" t="s">
        <v>32</v>
      </c>
      <c r="H726" s="11">
        <v>30991</v>
      </c>
      <c r="I726" s="11" t="s">
        <v>19</v>
      </c>
      <c r="J726" s="49" t="s">
        <v>41</v>
      </c>
      <c r="K726" s="50">
        <v>29.9</v>
      </c>
      <c r="L726" s="51">
        <f ca="1">TRUNC((TODAY()-tBase[[#This Row],[Data Nascimento]])/365)</f>
        <v>41</v>
      </c>
      <c r="M726" s="49" t="str">
        <f ca="1">HLOOKUP(tBase[[#This Row],[Idade]],$P$7:$S$8,2,TRUE)</f>
        <v>35 - 44</v>
      </c>
    </row>
    <row r="727" spans="2:13">
      <c r="B727" s="48">
        <v>33898601118</v>
      </c>
      <c r="C727" s="49" t="s">
        <v>407</v>
      </c>
      <c r="D727" s="49" t="s">
        <v>43</v>
      </c>
      <c r="E727" s="49" t="s">
        <v>291</v>
      </c>
      <c r="F727" s="49" t="s">
        <v>40</v>
      </c>
      <c r="G727" s="49" t="s">
        <v>32</v>
      </c>
      <c r="H727" s="11">
        <v>28003</v>
      </c>
      <c r="I727" s="11" t="s">
        <v>19</v>
      </c>
      <c r="J727" s="49" t="s">
        <v>41</v>
      </c>
      <c r="K727" s="50">
        <v>29.9</v>
      </c>
      <c r="L727" s="51">
        <f ca="1">TRUNC((TODAY()-tBase[[#This Row],[Data Nascimento]])/365)</f>
        <v>49</v>
      </c>
      <c r="M727" s="49" t="str">
        <f ca="1">HLOOKUP(tBase[[#This Row],[Idade]],$P$7:$S$8,2,TRUE)</f>
        <v>44 - 54</v>
      </c>
    </row>
    <row r="728" spans="2:13">
      <c r="B728" s="48">
        <v>38385048319</v>
      </c>
      <c r="C728" s="49" t="s">
        <v>408</v>
      </c>
      <c r="D728" s="49" t="s">
        <v>43</v>
      </c>
      <c r="E728" s="49" t="s">
        <v>291</v>
      </c>
      <c r="F728" s="49" t="s">
        <v>59</v>
      </c>
      <c r="G728" s="49" t="s">
        <v>16</v>
      </c>
      <c r="H728" s="11">
        <v>24581</v>
      </c>
      <c r="I728" s="11" t="s">
        <v>17</v>
      </c>
      <c r="J728" s="49" t="s">
        <v>33</v>
      </c>
      <c r="K728" s="50">
        <v>79.900000000000006</v>
      </c>
      <c r="L728" s="51">
        <f ca="1">TRUNC((TODAY()-tBase[[#This Row],[Data Nascimento]])/365)</f>
        <v>58</v>
      </c>
      <c r="M728" s="49" t="str">
        <f ca="1">HLOOKUP(tBase[[#This Row],[Idade]],$P$7:$S$8,2,TRUE)</f>
        <v>54-70</v>
      </c>
    </row>
    <row r="729" spans="2:13">
      <c r="B729" s="48">
        <v>56111428025</v>
      </c>
      <c r="C729" s="49" t="s">
        <v>408</v>
      </c>
      <c r="D729" s="49" t="s">
        <v>43</v>
      </c>
      <c r="E729" s="49" t="s">
        <v>291</v>
      </c>
      <c r="F729" s="49" t="s">
        <v>59</v>
      </c>
      <c r="G729" s="49" t="s">
        <v>16</v>
      </c>
      <c r="H729" s="11">
        <v>32545</v>
      </c>
      <c r="I729" s="11" t="s">
        <v>17</v>
      </c>
      <c r="J729" s="49" t="s">
        <v>33</v>
      </c>
      <c r="K729" s="50">
        <v>79.900000000000006</v>
      </c>
      <c r="L729" s="51">
        <f ca="1">TRUNC((TODAY()-tBase[[#This Row],[Data Nascimento]])/365)</f>
        <v>37</v>
      </c>
      <c r="M729" s="49" t="str">
        <f ca="1">HLOOKUP(tBase[[#This Row],[Idade]],$P$7:$S$8,2,TRUE)</f>
        <v>35 - 44</v>
      </c>
    </row>
    <row r="730" spans="2:13">
      <c r="B730" s="48">
        <v>47514609560</v>
      </c>
      <c r="C730" s="49" t="s">
        <v>409</v>
      </c>
      <c r="D730" s="49" t="s">
        <v>43</v>
      </c>
      <c r="E730" s="49" t="s">
        <v>291</v>
      </c>
      <c r="F730" s="49" t="s">
        <v>15</v>
      </c>
      <c r="G730" s="49" t="s">
        <v>32</v>
      </c>
      <c r="H730" s="11">
        <v>22192</v>
      </c>
      <c r="I730" s="11" t="s">
        <v>19</v>
      </c>
      <c r="J730" s="49" t="s">
        <v>44</v>
      </c>
      <c r="K730" s="50">
        <v>35.9</v>
      </c>
      <c r="L730" s="51">
        <f ca="1">TRUNC((TODAY()-tBase[[#This Row],[Data Nascimento]])/365)</f>
        <v>65</v>
      </c>
      <c r="M730" s="49" t="str">
        <f ca="1">HLOOKUP(tBase[[#This Row],[Idade]],$P$7:$S$8,2,TRUE)</f>
        <v>54-70</v>
      </c>
    </row>
    <row r="731" spans="2:13">
      <c r="B731" s="48">
        <v>71472265989</v>
      </c>
      <c r="C731" s="49" t="s">
        <v>409</v>
      </c>
      <c r="D731" s="49" t="s">
        <v>43</v>
      </c>
      <c r="E731" s="49" t="s">
        <v>291</v>
      </c>
      <c r="F731" s="49" t="s">
        <v>15</v>
      </c>
      <c r="G731" s="49" t="s">
        <v>32</v>
      </c>
      <c r="H731" s="11">
        <v>29626</v>
      </c>
      <c r="I731" s="11" t="s">
        <v>19</v>
      </c>
      <c r="J731" s="49" t="s">
        <v>44</v>
      </c>
      <c r="K731" s="50">
        <v>35.9</v>
      </c>
      <c r="L731" s="51">
        <f ca="1">TRUNC((TODAY()-tBase[[#This Row],[Data Nascimento]])/365)</f>
        <v>45</v>
      </c>
      <c r="M731" s="49" t="str">
        <f ca="1">HLOOKUP(tBase[[#This Row],[Idade]],$P$7:$S$8,2,TRUE)</f>
        <v>44 - 54</v>
      </c>
    </row>
    <row r="732" spans="2:13">
      <c r="B732" s="48">
        <v>38574789204</v>
      </c>
      <c r="C732" s="49" t="s">
        <v>410</v>
      </c>
      <c r="D732" s="49" t="s">
        <v>43</v>
      </c>
      <c r="E732" s="49" t="s">
        <v>291</v>
      </c>
      <c r="F732" s="49" t="s">
        <v>31</v>
      </c>
      <c r="G732" s="49" t="s">
        <v>32</v>
      </c>
      <c r="H732" s="11">
        <v>25487</v>
      </c>
      <c r="I732" s="11" t="s">
        <v>46</v>
      </c>
      <c r="J732" s="49" t="s">
        <v>33</v>
      </c>
      <c r="K732" s="50">
        <v>79.900000000000006</v>
      </c>
      <c r="L732" s="51">
        <f ca="1">TRUNC((TODAY()-tBase[[#This Row],[Data Nascimento]])/365)</f>
        <v>56</v>
      </c>
      <c r="M732" s="49" t="str">
        <f ca="1">HLOOKUP(tBase[[#This Row],[Idade]],$P$7:$S$8,2,TRUE)</f>
        <v>54-70</v>
      </c>
    </row>
    <row r="733" spans="2:13">
      <c r="B733" s="48">
        <v>89207609844</v>
      </c>
      <c r="C733" s="49" t="s">
        <v>410</v>
      </c>
      <c r="D733" s="49" t="s">
        <v>43</v>
      </c>
      <c r="E733" s="49" t="s">
        <v>291</v>
      </c>
      <c r="F733" s="49" t="s">
        <v>31</v>
      </c>
      <c r="G733" s="49" t="s">
        <v>32</v>
      </c>
      <c r="H733" s="11">
        <v>26402</v>
      </c>
      <c r="I733" s="11" t="s">
        <v>54</v>
      </c>
      <c r="J733" s="49" t="s">
        <v>33</v>
      </c>
      <c r="K733" s="50">
        <v>79.900000000000006</v>
      </c>
      <c r="L733" s="51">
        <f ca="1">TRUNC((TODAY()-tBase[[#This Row],[Data Nascimento]])/365)</f>
        <v>53</v>
      </c>
      <c r="M733" s="49" t="str">
        <f ca="1">HLOOKUP(tBase[[#This Row],[Idade]],$P$7:$S$8,2,TRUE)</f>
        <v>44 - 54</v>
      </c>
    </row>
    <row r="734" spans="2:13">
      <c r="B734" s="48">
        <v>47393301586</v>
      </c>
      <c r="C734" s="49" t="s">
        <v>411</v>
      </c>
      <c r="D734" s="49" t="s">
        <v>43</v>
      </c>
      <c r="E734" s="49" t="s">
        <v>291</v>
      </c>
      <c r="F734" s="49" t="s">
        <v>38</v>
      </c>
      <c r="G734" s="49" t="s">
        <v>52</v>
      </c>
      <c r="H734" s="11">
        <v>34327</v>
      </c>
      <c r="I734" s="11" t="s">
        <v>24</v>
      </c>
      <c r="J734" s="49" t="s">
        <v>18</v>
      </c>
      <c r="K734" s="50">
        <v>9.9</v>
      </c>
      <c r="L734" s="51">
        <f ca="1">TRUNC((TODAY()-tBase[[#This Row],[Data Nascimento]])/365)</f>
        <v>32</v>
      </c>
      <c r="M734" s="49" t="str">
        <f ca="1">HLOOKUP(tBase[[#This Row],[Idade]],$P$7:$S$8,2,TRUE)</f>
        <v>24-34</v>
      </c>
    </row>
    <row r="735" spans="2:13">
      <c r="B735" s="48">
        <v>51958244063</v>
      </c>
      <c r="C735" s="49" t="s">
        <v>411</v>
      </c>
      <c r="D735" s="49" t="s">
        <v>43</v>
      </c>
      <c r="E735" s="49" t="s">
        <v>291</v>
      </c>
      <c r="F735" s="49" t="s">
        <v>38</v>
      </c>
      <c r="G735" s="49" t="s">
        <v>52</v>
      </c>
      <c r="H735" s="11">
        <v>28924</v>
      </c>
      <c r="I735" s="11" t="s">
        <v>17</v>
      </c>
      <c r="J735" s="49" t="s">
        <v>18</v>
      </c>
      <c r="K735" s="50">
        <v>9.9</v>
      </c>
      <c r="L735" s="51">
        <f ca="1">TRUNC((TODAY()-tBase[[#This Row],[Data Nascimento]])/365)</f>
        <v>47</v>
      </c>
      <c r="M735" s="49" t="str">
        <f ca="1">HLOOKUP(tBase[[#This Row],[Idade]],$P$7:$S$8,2,TRUE)</f>
        <v>44 - 54</v>
      </c>
    </row>
    <row r="736" spans="2:13">
      <c r="B736" s="48">
        <v>30314403216</v>
      </c>
      <c r="C736" s="49" t="s">
        <v>412</v>
      </c>
      <c r="D736" s="49" t="s">
        <v>43</v>
      </c>
      <c r="E736" s="49" t="s">
        <v>291</v>
      </c>
      <c r="F736" s="49" t="s">
        <v>62</v>
      </c>
      <c r="G736" s="49" t="s">
        <v>16</v>
      </c>
      <c r="H736" s="11">
        <v>33624</v>
      </c>
      <c r="I736" s="11" t="s">
        <v>72</v>
      </c>
      <c r="J736" s="49" t="s">
        <v>18</v>
      </c>
      <c r="K736" s="50">
        <v>9.9</v>
      </c>
      <c r="L736" s="51">
        <f ca="1">TRUNC((TODAY()-tBase[[#This Row],[Data Nascimento]])/365)</f>
        <v>34</v>
      </c>
      <c r="M736" s="49" t="str">
        <f ca="1">HLOOKUP(tBase[[#This Row],[Idade]],$P$7:$S$8,2,TRUE)</f>
        <v>24-34</v>
      </c>
    </row>
    <row r="737" spans="2:13">
      <c r="B737" s="48">
        <v>61010920820</v>
      </c>
      <c r="C737" s="49" t="s">
        <v>412</v>
      </c>
      <c r="D737" s="49" t="s">
        <v>43</v>
      </c>
      <c r="E737" s="49" t="s">
        <v>291</v>
      </c>
      <c r="F737" s="49" t="s">
        <v>62</v>
      </c>
      <c r="G737" s="49" t="s">
        <v>16</v>
      </c>
      <c r="H737" s="11">
        <v>28705</v>
      </c>
      <c r="I737" s="11" t="s">
        <v>36</v>
      </c>
      <c r="J737" s="49" t="s">
        <v>18</v>
      </c>
      <c r="K737" s="50">
        <v>9.9</v>
      </c>
      <c r="L737" s="51">
        <f ca="1">TRUNC((TODAY()-tBase[[#This Row],[Data Nascimento]])/365)</f>
        <v>47</v>
      </c>
      <c r="M737" s="49" t="str">
        <f ca="1">HLOOKUP(tBase[[#This Row],[Idade]],$P$7:$S$8,2,TRUE)</f>
        <v>44 - 54</v>
      </c>
    </row>
    <row r="738" spans="2:13">
      <c r="B738" s="48">
        <v>40164211200</v>
      </c>
      <c r="C738" s="49" t="s">
        <v>413</v>
      </c>
      <c r="D738" s="49" t="s">
        <v>43</v>
      </c>
      <c r="E738" s="49" t="s">
        <v>291</v>
      </c>
      <c r="F738" s="49" t="s">
        <v>38</v>
      </c>
      <c r="G738" s="49" t="s">
        <v>16</v>
      </c>
      <c r="H738" s="11">
        <v>21293</v>
      </c>
      <c r="I738" s="11" t="s">
        <v>17</v>
      </c>
      <c r="J738" s="49" t="s">
        <v>44</v>
      </c>
      <c r="K738" s="50">
        <v>35.9</v>
      </c>
      <c r="L738" s="51">
        <f ca="1">TRUNC((TODAY()-tBase[[#This Row],[Data Nascimento]])/365)</f>
        <v>67</v>
      </c>
      <c r="M738" s="49" t="str">
        <f ca="1">HLOOKUP(tBase[[#This Row],[Idade]],$P$7:$S$8,2,TRUE)</f>
        <v>54-70</v>
      </c>
    </row>
    <row r="739" spans="2:13">
      <c r="B739" s="48">
        <v>81254163050</v>
      </c>
      <c r="C739" s="49" t="s">
        <v>413</v>
      </c>
      <c r="D739" s="49" t="s">
        <v>43</v>
      </c>
      <c r="E739" s="49" t="s">
        <v>291</v>
      </c>
      <c r="F739" s="49" t="s">
        <v>38</v>
      </c>
      <c r="G739" s="49" t="s">
        <v>16</v>
      </c>
      <c r="H739" s="11">
        <v>29554</v>
      </c>
      <c r="I739" s="11" t="s">
        <v>46</v>
      </c>
      <c r="J739" s="49" t="s">
        <v>44</v>
      </c>
      <c r="K739" s="50">
        <v>35.9</v>
      </c>
      <c r="L739" s="51">
        <f ca="1">TRUNC((TODAY()-tBase[[#This Row],[Data Nascimento]])/365)</f>
        <v>45</v>
      </c>
      <c r="M739" s="49" t="str">
        <f ca="1">HLOOKUP(tBase[[#This Row],[Idade]],$P$7:$S$8,2,TRUE)</f>
        <v>44 - 54</v>
      </c>
    </row>
    <row r="740" spans="2:13">
      <c r="B740" s="48">
        <v>48537217226</v>
      </c>
      <c r="C740" s="49" t="s">
        <v>414</v>
      </c>
      <c r="D740" s="49" t="s">
        <v>43</v>
      </c>
      <c r="E740" s="49" t="s">
        <v>291</v>
      </c>
      <c r="F740" s="49" t="s">
        <v>59</v>
      </c>
      <c r="G740" s="49" t="s">
        <v>52</v>
      </c>
      <c r="H740" s="11">
        <v>29697</v>
      </c>
      <c r="I740" s="11" t="s">
        <v>54</v>
      </c>
      <c r="J740" s="49" t="s">
        <v>44</v>
      </c>
      <c r="K740" s="50">
        <v>35.9</v>
      </c>
      <c r="L740" s="51">
        <f ca="1">TRUNC((TODAY()-tBase[[#This Row],[Data Nascimento]])/365)</f>
        <v>44</v>
      </c>
      <c r="M740" s="49" t="str">
        <f ca="1">HLOOKUP(tBase[[#This Row],[Idade]],$P$7:$S$8,2,TRUE)</f>
        <v>44 - 54</v>
      </c>
    </row>
    <row r="741" spans="2:13">
      <c r="B741" s="48">
        <v>82208515205</v>
      </c>
      <c r="C741" s="49" t="s">
        <v>414</v>
      </c>
      <c r="D741" s="49" t="s">
        <v>43</v>
      </c>
      <c r="E741" s="49" t="s">
        <v>291</v>
      </c>
      <c r="F741" s="49" t="s">
        <v>59</v>
      </c>
      <c r="G741" s="49" t="s">
        <v>52</v>
      </c>
      <c r="H741" s="11">
        <v>29738</v>
      </c>
      <c r="I741" s="11" t="s">
        <v>24</v>
      </c>
      <c r="J741" s="49" t="s">
        <v>44</v>
      </c>
      <c r="K741" s="50">
        <v>35.9</v>
      </c>
      <c r="L741" s="51">
        <f ca="1">TRUNC((TODAY()-tBase[[#This Row],[Data Nascimento]])/365)</f>
        <v>44</v>
      </c>
      <c r="M741" s="49" t="str">
        <f ca="1">HLOOKUP(tBase[[#This Row],[Idade]],$P$7:$S$8,2,TRUE)</f>
        <v>44 - 54</v>
      </c>
    </row>
    <row r="742" spans="2:13">
      <c r="B742" s="48">
        <v>39864520583</v>
      </c>
      <c r="C742" s="49" t="s">
        <v>415</v>
      </c>
      <c r="D742" s="49" t="s">
        <v>43</v>
      </c>
      <c r="E742" s="49" t="s">
        <v>291</v>
      </c>
      <c r="F742" s="49" t="s">
        <v>38</v>
      </c>
      <c r="G742" s="49" t="s">
        <v>16</v>
      </c>
      <c r="H742" s="11">
        <v>34689</v>
      </c>
      <c r="I742" s="11" t="s">
        <v>17</v>
      </c>
      <c r="J742" s="49" t="s">
        <v>44</v>
      </c>
      <c r="K742" s="50">
        <v>35.9</v>
      </c>
      <c r="L742" s="51">
        <f ca="1">TRUNC((TODAY()-tBase[[#This Row],[Data Nascimento]])/365)</f>
        <v>31</v>
      </c>
      <c r="M742" s="49" t="str">
        <f ca="1">HLOOKUP(tBase[[#This Row],[Idade]],$P$7:$S$8,2,TRUE)</f>
        <v>24-34</v>
      </c>
    </row>
    <row r="743" spans="2:13">
      <c r="B743" s="48">
        <v>79692046981</v>
      </c>
      <c r="C743" s="49" t="s">
        <v>415</v>
      </c>
      <c r="D743" s="49" t="s">
        <v>43</v>
      </c>
      <c r="E743" s="49" t="s">
        <v>291</v>
      </c>
      <c r="F743" s="49" t="s">
        <v>38</v>
      </c>
      <c r="G743" s="49" t="s">
        <v>16</v>
      </c>
      <c r="H743" s="11">
        <v>28052</v>
      </c>
      <c r="I743" s="11" t="s">
        <v>21</v>
      </c>
      <c r="J743" s="49" t="s">
        <v>44</v>
      </c>
      <c r="K743" s="50">
        <v>35.9</v>
      </c>
      <c r="L743" s="51">
        <f ca="1">TRUNC((TODAY()-tBase[[#This Row],[Data Nascimento]])/365)</f>
        <v>49</v>
      </c>
      <c r="M743" s="49" t="str">
        <f ca="1">HLOOKUP(tBase[[#This Row],[Idade]],$P$7:$S$8,2,TRUE)</f>
        <v>44 - 54</v>
      </c>
    </row>
    <row r="744" spans="2:13">
      <c r="B744" s="48">
        <v>31834447574</v>
      </c>
      <c r="C744" s="49" t="s">
        <v>416</v>
      </c>
      <c r="D744" s="49" t="s">
        <v>43</v>
      </c>
      <c r="E744" s="49" t="s">
        <v>291</v>
      </c>
      <c r="F744" s="49" t="s">
        <v>59</v>
      </c>
      <c r="G744" s="49" t="s">
        <v>52</v>
      </c>
      <c r="H744" s="11">
        <v>33920</v>
      </c>
      <c r="I744" s="11" t="s">
        <v>19</v>
      </c>
      <c r="J744" s="49" t="s">
        <v>18</v>
      </c>
      <c r="K744" s="50">
        <v>9.9</v>
      </c>
      <c r="L744" s="51">
        <f ca="1">TRUNC((TODAY()-tBase[[#This Row],[Data Nascimento]])/365)</f>
        <v>33</v>
      </c>
      <c r="M744" s="49" t="str">
        <f ca="1">HLOOKUP(tBase[[#This Row],[Idade]],$P$7:$S$8,2,TRUE)</f>
        <v>24-34</v>
      </c>
    </row>
    <row r="745" spans="2:13">
      <c r="B745" s="48">
        <v>46533166609</v>
      </c>
      <c r="C745" s="49" t="s">
        <v>416</v>
      </c>
      <c r="D745" s="49" t="s">
        <v>43</v>
      </c>
      <c r="E745" s="49" t="s">
        <v>291</v>
      </c>
      <c r="F745" s="49" t="s">
        <v>59</v>
      </c>
      <c r="G745" s="49" t="s">
        <v>52</v>
      </c>
      <c r="H745" s="11">
        <v>33765</v>
      </c>
      <c r="I745" s="11" t="s">
        <v>21</v>
      </c>
      <c r="J745" s="49" t="s">
        <v>18</v>
      </c>
      <c r="K745" s="50">
        <v>9.9</v>
      </c>
      <c r="L745" s="51">
        <f ca="1">TRUNC((TODAY()-tBase[[#This Row],[Data Nascimento]])/365)</f>
        <v>33</v>
      </c>
      <c r="M745" s="49" t="str">
        <f ca="1">HLOOKUP(tBase[[#This Row],[Idade]],$P$7:$S$8,2,TRUE)</f>
        <v>24-34</v>
      </c>
    </row>
    <row r="746" spans="2:13">
      <c r="B746" s="48">
        <v>46447828715</v>
      </c>
      <c r="C746" s="49" t="s">
        <v>417</v>
      </c>
      <c r="D746" s="49" t="s">
        <v>43</v>
      </c>
      <c r="E746" s="49" t="s">
        <v>291</v>
      </c>
      <c r="F746" s="49" t="s">
        <v>38</v>
      </c>
      <c r="G746" s="49" t="s">
        <v>16</v>
      </c>
      <c r="H746" s="11">
        <v>31371</v>
      </c>
      <c r="I746" s="11" t="s">
        <v>17</v>
      </c>
      <c r="J746" s="49" t="s">
        <v>41</v>
      </c>
      <c r="K746" s="50">
        <v>29.9</v>
      </c>
      <c r="L746" s="51">
        <f ca="1">TRUNC((TODAY()-tBase[[#This Row],[Data Nascimento]])/365)</f>
        <v>40</v>
      </c>
      <c r="M746" s="49" t="str">
        <f ca="1">HLOOKUP(tBase[[#This Row],[Idade]],$P$7:$S$8,2,TRUE)</f>
        <v>35 - 44</v>
      </c>
    </row>
    <row r="747" spans="2:13">
      <c r="B747" s="48">
        <v>86852773998</v>
      </c>
      <c r="C747" s="49" t="s">
        <v>417</v>
      </c>
      <c r="D747" s="49" t="s">
        <v>43</v>
      </c>
      <c r="E747" s="49" t="s">
        <v>291</v>
      </c>
      <c r="F747" s="49" t="s">
        <v>38</v>
      </c>
      <c r="G747" s="49" t="s">
        <v>16</v>
      </c>
      <c r="H747" s="11">
        <v>26154</v>
      </c>
      <c r="I747" s="11" t="s">
        <v>17</v>
      </c>
      <c r="J747" s="49" t="s">
        <v>41</v>
      </c>
      <c r="K747" s="50">
        <v>29.9</v>
      </c>
      <c r="L747" s="51">
        <f ca="1">TRUNC((TODAY()-tBase[[#This Row],[Data Nascimento]])/365)</f>
        <v>54</v>
      </c>
      <c r="M747" s="49" t="str">
        <f ca="1">HLOOKUP(tBase[[#This Row],[Idade]],$P$7:$S$8,2,TRUE)</f>
        <v>54-70</v>
      </c>
    </row>
    <row r="748" spans="2:13">
      <c r="B748" s="48">
        <v>49609420133</v>
      </c>
      <c r="C748" s="49" t="s">
        <v>418</v>
      </c>
      <c r="D748" s="49" t="s">
        <v>43</v>
      </c>
      <c r="E748" s="49" t="s">
        <v>291</v>
      </c>
      <c r="F748" s="49" t="s">
        <v>59</v>
      </c>
      <c r="G748" s="49" t="s">
        <v>16</v>
      </c>
      <c r="H748" s="11">
        <v>22766</v>
      </c>
      <c r="I748" s="11" t="s">
        <v>19</v>
      </c>
      <c r="J748" s="49" t="s">
        <v>33</v>
      </c>
      <c r="K748" s="50">
        <v>79.900000000000006</v>
      </c>
      <c r="L748" s="51">
        <f ca="1">TRUNC((TODAY()-tBase[[#This Row],[Data Nascimento]])/365)</f>
        <v>63</v>
      </c>
      <c r="M748" s="49" t="str">
        <f ca="1">HLOOKUP(tBase[[#This Row],[Idade]],$P$7:$S$8,2,TRUE)</f>
        <v>54-70</v>
      </c>
    </row>
    <row r="749" spans="2:13">
      <c r="B749" s="48">
        <v>65014260265</v>
      </c>
      <c r="C749" s="49" t="s">
        <v>418</v>
      </c>
      <c r="D749" s="49" t="s">
        <v>43</v>
      </c>
      <c r="E749" s="49" t="s">
        <v>291</v>
      </c>
      <c r="F749" s="49" t="s">
        <v>59</v>
      </c>
      <c r="G749" s="49" t="s">
        <v>16</v>
      </c>
      <c r="H749" s="11">
        <v>28527</v>
      </c>
      <c r="I749" s="11" t="s">
        <v>72</v>
      </c>
      <c r="J749" s="49" t="s">
        <v>33</v>
      </c>
      <c r="K749" s="50">
        <v>79.900000000000006</v>
      </c>
      <c r="L749" s="51">
        <f ca="1">TRUNC((TODAY()-tBase[[#This Row],[Data Nascimento]])/365)</f>
        <v>48</v>
      </c>
      <c r="M749" s="49" t="str">
        <f ca="1">HLOOKUP(tBase[[#This Row],[Idade]],$P$7:$S$8,2,TRUE)</f>
        <v>44 - 54</v>
      </c>
    </row>
    <row r="750" spans="2:13">
      <c r="B750" s="48">
        <v>41215776974</v>
      </c>
      <c r="C750" s="49" t="s">
        <v>419</v>
      </c>
      <c r="D750" s="49" t="s">
        <v>43</v>
      </c>
      <c r="E750" s="49" t="s">
        <v>291</v>
      </c>
      <c r="F750" s="49" t="s">
        <v>40</v>
      </c>
      <c r="G750" s="49" t="s">
        <v>16</v>
      </c>
      <c r="H750" s="11">
        <v>27732</v>
      </c>
      <c r="I750" s="11" t="s">
        <v>17</v>
      </c>
      <c r="J750" s="49" t="s">
        <v>41</v>
      </c>
      <c r="K750" s="50">
        <v>29.9</v>
      </c>
      <c r="L750" s="51">
        <f ca="1">TRUNC((TODAY()-tBase[[#This Row],[Data Nascimento]])/365)</f>
        <v>50</v>
      </c>
      <c r="M750" s="49" t="str">
        <f ca="1">HLOOKUP(tBase[[#This Row],[Idade]],$P$7:$S$8,2,TRUE)</f>
        <v>44 - 54</v>
      </c>
    </row>
    <row r="751" spans="2:13">
      <c r="B751" s="48">
        <v>47725755906</v>
      </c>
      <c r="C751" s="49" t="s">
        <v>419</v>
      </c>
      <c r="D751" s="49" t="s">
        <v>43</v>
      </c>
      <c r="E751" s="49" t="s">
        <v>291</v>
      </c>
      <c r="F751" s="49" t="s">
        <v>40</v>
      </c>
      <c r="G751" s="49" t="s">
        <v>16</v>
      </c>
      <c r="H751" s="11">
        <v>32268</v>
      </c>
      <c r="I751" s="11" t="s">
        <v>19</v>
      </c>
      <c r="J751" s="49" t="s">
        <v>41</v>
      </c>
      <c r="K751" s="50">
        <v>29.9</v>
      </c>
      <c r="L751" s="51">
        <f ca="1">TRUNC((TODAY()-tBase[[#This Row],[Data Nascimento]])/365)</f>
        <v>37</v>
      </c>
      <c r="M751" s="49" t="str">
        <f ca="1">HLOOKUP(tBase[[#This Row],[Idade]],$P$7:$S$8,2,TRUE)</f>
        <v>35 - 44</v>
      </c>
    </row>
    <row r="752" spans="2:13">
      <c r="B752" s="48">
        <v>48460714260</v>
      </c>
      <c r="C752" s="49" t="s">
        <v>420</v>
      </c>
      <c r="D752" s="49" t="s">
        <v>43</v>
      </c>
      <c r="E752" s="49" t="s">
        <v>291</v>
      </c>
      <c r="F752" s="49" t="s">
        <v>15</v>
      </c>
      <c r="G752" s="49" t="s">
        <v>32</v>
      </c>
      <c r="H752" s="11">
        <v>29222</v>
      </c>
      <c r="I752" s="11" t="s">
        <v>21</v>
      </c>
      <c r="J752" s="49" t="s">
        <v>18</v>
      </c>
      <c r="K752" s="50">
        <v>9.9</v>
      </c>
      <c r="L752" s="51">
        <f ca="1">TRUNC((TODAY()-tBase[[#This Row],[Data Nascimento]])/365)</f>
        <v>46</v>
      </c>
      <c r="M752" s="49" t="str">
        <f ca="1">HLOOKUP(tBase[[#This Row],[Idade]],$P$7:$S$8,2,TRUE)</f>
        <v>44 - 54</v>
      </c>
    </row>
    <row r="753" spans="2:13">
      <c r="B753" s="48">
        <v>92217554531</v>
      </c>
      <c r="C753" s="49" t="s">
        <v>420</v>
      </c>
      <c r="D753" s="49" t="s">
        <v>43</v>
      </c>
      <c r="E753" s="49" t="s">
        <v>291</v>
      </c>
      <c r="F753" s="49" t="s">
        <v>15</v>
      </c>
      <c r="G753" s="49" t="s">
        <v>32</v>
      </c>
      <c r="H753" s="11">
        <v>29548</v>
      </c>
      <c r="I753" s="11" t="s">
        <v>17</v>
      </c>
      <c r="J753" s="49" t="s">
        <v>18</v>
      </c>
      <c r="K753" s="50">
        <v>9.9</v>
      </c>
      <c r="L753" s="51">
        <f ca="1">TRUNC((TODAY()-tBase[[#This Row],[Data Nascimento]])/365)</f>
        <v>45</v>
      </c>
      <c r="M753" s="49" t="str">
        <f ca="1">HLOOKUP(tBase[[#This Row],[Idade]],$P$7:$S$8,2,TRUE)</f>
        <v>44 - 54</v>
      </c>
    </row>
    <row r="754" spans="2:13">
      <c r="B754" s="48">
        <v>55370247974</v>
      </c>
      <c r="C754" s="49" t="s">
        <v>421</v>
      </c>
      <c r="D754" s="49" t="s">
        <v>43</v>
      </c>
      <c r="E754" s="49" t="s">
        <v>291</v>
      </c>
      <c r="F754" s="49" t="s">
        <v>15</v>
      </c>
      <c r="G754" s="49" t="s">
        <v>32</v>
      </c>
      <c r="H754" s="11">
        <v>22051</v>
      </c>
      <c r="I754" s="11" t="s">
        <v>19</v>
      </c>
      <c r="J754" s="49" t="s">
        <v>18</v>
      </c>
      <c r="K754" s="50">
        <v>9.9</v>
      </c>
      <c r="L754" s="51">
        <f ca="1">TRUNC((TODAY()-tBase[[#This Row],[Data Nascimento]])/365)</f>
        <v>65</v>
      </c>
      <c r="M754" s="49" t="str">
        <f ca="1">HLOOKUP(tBase[[#This Row],[Idade]],$P$7:$S$8,2,TRUE)</f>
        <v>54-70</v>
      </c>
    </row>
    <row r="755" spans="2:13">
      <c r="B755" s="48">
        <v>65345196819</v>
      </c>
      <c r="C755" s="49" t="s">
        <v>421</v>
      </c>
      <c r="D755" s="49" t="s">
        <v>43</v>
      </c>
      <c r="E755" s="49" t="s">
        <v>291</v>
      </c>
      <c r="F755" s="49" t="s">
        <v>15</v>
      </c>
      <c r="G755" s="49" t="s">
        <v>32</v>
      </c>
      <c r="H755" s="11">
        <v>32627</v>
      </c>
      <c r="I755" s="11" t="s">
        <v>19</v>
      </c>
      <c r="J755" s="49" t="s">
        <v>18</v>
      </c>
      <c r="K755" s="50">
        <v>9.9</v>
      </c>
      <c r="L755" s="51">
        <f ca="1">TRUNC((TODAY()-tBase[[#This Row],[Data Nascimento]])/365)</f>
        <v>36</v>
      </c>
      <c r="M755" s="49" t="str">
        <f ca="1">HLOOKUP(tBase[[#This Row],[Idade]],$P$7:$S$8,2,TRUE)</f>
        <v>35 - 44</v>
      </c>
    </row>
    <row r="756" spans="2:13">
      <c r="B756" s="48">
        <v>39632140009</v>
      </c>
      <c r="C756" s="49" t="s">
        <v>206</v>
      </c>
      <c r="D756" s="49" t="s">
        <v>43</v>
      </c>
      <c r="E756" s="49" t="s">
        <v>291</v>
      </c>
      <c r="F756" s="49" t="s">
        <v>40</v>
      </c>
      <c r="G756" s="49" t="s">
        <v>16</v>
      </c>
      <c r="H756" s="11">
        <v>32081</v>
      </c>
      <c r="I756" s="11" t="s">
        <v>19</v>
      </c>
      <c r="J756" s="49" t="s">
        <v>41</v>
      </c>
      <c r="K756" s="50">
        <v>29.9</v>
      </c>
      <c r="L756" s="51">
        <f ca="1">TRUNC((TODAY()-tBase[[#This Row],[Data Nascimento]])/365)</f>
        <v>38</v>
      </c>
      <c r="M756" s="49" t="str">
        <f ca="1">HLOOKUP(tBase[[#This Row],[Idade]],$P$7:$S$8,2,TRUE)</f>
        <v>35 - 44</v>
      </c>
    </row>
    <row r="757" spans="2:13">
      <c r="B757" s="48">
        <v>46610379858</v>
      </c>
      <c r="C757" s="49" t="s">
        <v>422</v>
      </c>
      <c r="D757" s="49" t="s">
        <v>43</v>
      </c>
      <c r="E757" s="49" t="s">
        <v>291</v>
      </c>
      <c r="F757" s="49" t="s">
        <v>38</v>
      </c>
      <c r="G757" s="49" t="s">
        <v>16</v>
      </c>
      <c r="H757" s="11">
        <v>22932</v>
      </c>
      <c r="I757" s="11" t="s">
        <v>54</v>
      </c>
      <c r="J757" s="49" t="s">
        <v>18</v>
      </c>
      <c r="K757" s="50">
        <v>9.9</v>
      </c>
      <c r="L757" s="51">
        <f ca="1">TRUNC((TODAY()-tBase[[#This Row],[Data Nascimento]])/365)</f>
        <v>63</v>
      </c>
      <c r="M757" s="49" t="str">
        <f ca="1">HLOOKUP(tBase[[#This Row],[Idade]],$P$7:$S$8,2,TRUE)</f>
        <v>54-70</v>
      </c>
    </row>
    <row r="758" spans="2:13">
      <c r="B758" s="48">
        <v>47922430248</v>
      </c>
      <c r="C758" s="49" t="s">
        <v>422</v>
      </c>
      <c r="D758" s="49" t="s">
        <v>43</v>
      </c>
      <c r="E758" s="49" t="s">
        <v>291</v>
      </c>
      <c r="F758" s="49" t="s">
        <v>38</v>
      </c>
      <c r="G758" s="49" t="s">
        <v>16</v>
      </c>
      <c r="H758" s="11">
        <v>24578</v>
      </c>
      <c r="I758" s="11" t="s">
        <v>46</v>
      </c>
      <c r="J758" s="49" t="s">
        <v>18</v>
      </c>
      <c r="K758" s="50">
        <v>9.9</v>
      </c>
      <c r="L758" s="51">
        <f ca="1">TRUNC((TODAY()-tBase[[#This Row],[Data Nascimento]])/365)</f>
        <v>58</v>
      </c>
      <c r="M758" s="49" t="str">
        <f ca="1">HLOOKUP(tBase[[#This Row],[Idade]],$P$7:$S$8,2,TRUE)</f>
        <v>54-70</v>
      </c>
    </row>
    <row r="759" spans="2:13">
      <c r="B759" s="48">
        <v>31971403474</v>
      </c>
      <c r="C759" s="49" t="s">
        <v>423</v>
      </c>
      <c r="D759" s="49" t="s">
        <v>43</v>
      </c>
      <c r="E759" s="49" t="s">
        <v>291</v>
      </c>
      <c r="F759" s="49" t="s">
        <v>15</v>
      </c>
      <c r="G759" s="49" t="s">
        <v>16</v>
      </c>
      <c r="H759" s="11">
        <v>32677</v>
      </c>
      <c r="I759" s="11" t="s">
        <v>46</v>
      </c>
      <c r="J759" s="49" t="s">
        <v>41</v>
      </c>
      <c r="K759" s="50">
        <v>29.9</v>
      </c>
      <c r="L759" s="51">
        <f ca="1">TRUNC((TODAY()-tBase[[#This Row],[Data Nascimento]])/365)</f>
        <v>36</v>
      </c>
      <c r="M759" s="49" t="str">
        <f ca="1">HLOOKUP(tBase[[#This Row],[Idade]],$P$7:$S$8,2,TRUE)</f>
        <v>35 - 44</v>
      </c>
    </row>
    <row r="760" spans="2:13">
      <c r="B760" s="48">
        <v>65252032106</v>
      </c>
      <c r="C760" s="49" t="s">
        <v>423</v>
      </c>
      <c r="D760" s="49" t="s">
        <v>43</v>
      </c>
      <c r="E760" s="49" t="s">
        <v>291</v>
      </c>
      <c r="F760" s="49" t="s">
        <v>15</v>
      </c>
      <c r="G760" s="49" t="s">
        <v>16</v>
      </c>
      <c r="H760" s="11">
        <v>25597</v>
      </c>
      <c r="I760" s="11" t="s">
        <v>19</v>
      </c>
      <c r="J760" s="49" t="s">
        <v>41</v>
      </c>
      <c r="K760" s="50">
        <v>29.9</v>
      </c>
      <c r="L760" s="51">
        <f ca="1">TRUNC((TODAY()-tBase[[#This Row],[Data Nascimento]])/365)</f>
        <v>56</v>
      </c>
      <c r="M760" s="49" t="str">
        <f ca="1">HLOOKUP(tBase[[#This Row],[Idade]],$P$7:$S$8,2,TRUE)</f>
        <v>54-70</v>
      </c>
    </row>
    <row r="761" spans="2:13">
      <c r="B761" s="48">
        <v>47497279533</v>
      </c>
      <c r="C761" s="49" t="s">
        <v>424</v>
      </c>
      <c r="D761" s="49" t="s">
        <v>43</v>
      </c>
      <c r="E761" s="49" t="s">
        <v>291</v>
      </c>
      <c r="F761" s="49" t="s">
        <v>59</v>
      </c>
      <c r="G761" s="49" t="s">
        <v>16</v>
      </c>
      <c r="H761" s="11">
        <v>31175</v>
      </c>
      <c r="I761" s="11" t="s">
        <v>72</v>
      </c>
      <c r="J761" s="49" t="s">
        <v>33</v>
      </c>
      <c r="K761" s="50">
        <v>79.900000000000006</v>
      </c>
      <c r="L761" s="51">
        <f ca="1">TRUNC((TODAY()-tBase[[#This Row],[Data Nascimento]])/365)</f>
        <v>40</v>
      </c>
      <c r="M761" s="49" t="str">
        <f ca="1">HLOOKUP(tBase[[#This Row],[Idade]],$P$7:$S$8,2,TRUE)</f>
        <v>35 - 44</v>
      </c>
    </row>
    <row r="762" spans="2:13">
      <c r="B762" s="48">
        <v>96189222892</v>
      </c>
      <c r="C762" s="49" t="s">
        <v>424</v>
      </c>
      <c r="D762" s="49" t="s">
        <v>43</v>
      </c>
      <c r="E762" s="49" t="s">
        <v>291</v>
      </c>
      <c r="F762" s="49" t="s">
        <v>59</v>
      </c>
      <c r="G762" s="49" t="s">
        <v>52</v>
      </c>
      <c r="H762" s="11">
        <v>27862</v>
      </c>
      <c r="I762" s="11" t="s">
        <v>19</v>
      </c>
      <c r="J762" s="49" t="s">
        <v>33</v>
      </c>
      <c r="K762" s="50">
        <v>79.900000000000006</v>
      </c>
      <c r="L762" s="51">
        <f ca="1">TRUNC((TODAY()-tBase[[#This Row],[Data Nascimento]])/365)</f>
        <v>49</v>
      </c>
      <c r="M762" s="49" t="str">
        <f ca="1">HLOOKUP(tBase[[#This Row],[Idade]],$P$7:$S$8,2,TRUE)</f>
        <v>44 - 54</v>
      </c>
    </row>
    <row r="763" spans="2:13">
      <c r="B763" s="48">
        <v>28054126958</v>
      </c>
      <c r="C763" s="49" t="s">
        <v>425</v>
      </c>
      <c r="D763" s="49" t="s">
        <v>43</v>
      </c>
      <c r="E763" s="49" t="s">
        <v>291</v>
      </c>
      <c r="F763" s="49" t="s">
        <v>38</v>
      </c>
      <c r="G763" s="49" t="s">
        <v>52</v>
      </c>
      <c r="H763" s="11">
        <v>29830</v>
      </c>
      <c r="I763" s="11" t="s">
        <v>36</v>
      </c>
      <c r="J763" s="49" t="s">
        <v>44</v>
      </c>
      <c r="K763" s="50">
        <v>35.9</v>
      </c>
      <c r="L763" s="51">
        <f ca="1">TRUNC((TODAY()-tBase[[#This Row],[Data Nascimento]])/365)</f>
        <v>44</v>
      </c>
      <c r="M763" s="49" t="str">
        <f ca="1">HLOOKUP(tBase[[#This Row],[Idade]],$P$7:$S$8,2,TRUE)</f>
        <v>44 - 54</v>
      </c>
    </row>
    <row r="764" spans="2:13">
      <c r="B764" s="48">
        <v>87868289945</v>
      </c>
      <c r="C764" s="49" t="s">
        <v>425</v>
      </c>
      <c r="D764" s="49" t="s">
        <v>43</v>
      </c>
      <c r="E764" s="49" t="s">
        <v>291</v>
      </c>
      <c r="F764" s="49" t="s">
        <v>38</v>
      </c>
      <c r="G764" s="49" t="s">
        <v>52</v>
      </c>
      <c r="H764" s="11">
        <v>35852</v>
      </c>
      <c r="I764" s="11" t="s">
        <v>19</v>
      </c>
      <c r="J764" s="49" t="s">
        <v>44</v>
      </c>
      <c r="K764" s="50">
        <v>35.9</v>
      </c>
      <c r="L764" s="51">
        <f ca="1">TRUNC((TODAY()-tBase[[#This Row],[Data Nascimento]])/365)</f>
        <v>28</v>
      </c>
      <c r="M764" s="49" t="str">
        <f ca="1">HLOOKUP(tBase[[#This Row],[Idade]],$P$7:$S$8,2,TRUE)</f>
        <v>24-34</v>
      </c>
    </row>
    <row r="765" spans="2:13">
      <c r="B765" s="48">
        <v>23247585094</v>
      </c>
      <c r="C765" s="49" t="s">
        <v>426</v>
      </c>
      <c r="D765" s="49" t="s">
        <v>43</v>
      </c>
      <c r="E765" s="49" t="s">
        <v>291</v>
      </c>
      <c r="F765" s="49" t="s">
        <v>62</v>
      </c>
      <c r="G765" s="49" t="s">
        <v>52</v>
      </c>
      <c r="H765" s="11">
        <v>31809</v>
      </c>
      <c r="I765" s="11" t="s">
        <v>24</v>
      </c>
      <c r="J765" s="49" t="s">
        <v>18</v>
      </c>
      <c r="K765" s="50">
        <v>9.9</v>
      </c>
      <c r="L765" s="51">
        <f ca="1">TRUNC((TODAY()-tBase[[#This Row],[Data Nascimento]])/365)</f>
        <v>39</v>
      </c>
      <c r="M765" s="49" t="str">
        <f ca="1">HLOOKUP(tBase[[#This Row],[Idade]],$P$7:$S$8,2,TRUE)</f>
        <v>35 - 44</v>
      </c>
    </row>
    <row r="766" spans="2:13">
      <c r="B766" s="48">
        <v>81073311563</v>
      </c>
      <c r="C766" s="49" t="s">
        <v>426</v>
      </c>
      <c r="D766" s="49" t="s">
        <v>43</v>
      </c>
      <c r="E766" s="49" t="s">
        <v>291</v>
      </c>
      <c r="F766" s="49" t="s">
        <v>62</v>
      </c>
      <c r="G766" s="49" t="s">
        <v>52</v>
      </c>
      <c r="H766" s="11">
        <v>29499</v>
      </c>
      <c r="I766" s="11" t="s">
        <v>21</v>
      </c>
      <c r="J766" s="49" t="s">
        <v>18</v>
      </c>
      <c r="K766" s="50">
        <v>9.9</v>
      </c>
      <c r="L766" s="51">
        <f ca="1">TRUNC((TODAY()-tBase[[#This Row],[Data Nascimento]])/365)</f>
        <v>45</v>
      </c>
      <c r="M766" s="49" t="str">
        <f ca="1">HLOOKUP(tBase[[#This Row],[Idade]],$P$7:$S$8,2,TRUE)</f>
        <v>44 - 54</v>
      </c>
    </row>
    <row r="767" spans="2:13">
      <c r="B767" s="48">
        <v>38436562260</v>
      </c>
      <c r="C767" s="49" t="s">
        <v>427</v>
      </c>
      <c r="D767" s="49" t="s">
        <v>43</v>
      </c>
      <c r="E767" s="49" t="s">
        <v>291</v>
      </c>
      <c r="F767" s="49" t="s">
        <v>38</v>
      </c>
      <c r="G767" s="49" t="s">
        <v>16</v>
      </c>
      <c r="H767" s="11">
        <v>31018</v>
      </c>
      <c r="I767" s="11" t="s">
        <v>24</v>
      </c>
      <c r="J767" s="49" t="s">
        <v>44</v>
      </c>
      <c r="K767" s="50">
        <v>35.9</v>
      </c>
      <c r="L767" s="51">
        <f ca="1">TRUNC((TODAY()-tBase[[#This Row],[Data Nascimento]])/365)</f>
        <v>41</v>
      </c>
      <c r="M767" s="49" t="str">
        <f ca="1">HLOOKUP(tBase[[#This Row],[Idade]],$P$7:$S$8,2,TRUE)</f>
        <v>35 - 44</v>
      </c>
    </row>
    <row r="768" spans="2:13">
      <c r="B768" s="48">
        <v>42808465160</v>
      </c>
      <c r="C768" s="49" t="s">
        <v>427</v>
      </c>
      <c r="D768" s="49" t="s">
        <v>43</v>
      </c>
      <c r="E768" s="49" t="s">
        <v>291</v>
      </c>
      <c r="F768" s="49" t="s">
        <v>38</v>
      </c>
      <c r="G768" s="49" t="s">
        <v>16</v>
      </c>
      <c r="H768" s="11">
        <v>26186</v>
      </c>
      <c r="I768" s="11" t="s">
        <v>21</v>
      </c>
      <c r="J768" s="49" t="s">
        <v>44</v>
      </c>
      <c r="K768" s="50">
        <v>35.9</v>
      </c>
      <c r="L768" s="51">
        <f ca="1">TRUNC((TODAY()-tBase[[#This Row],[Data Nascimento]])/365)</f>
        <v>54</v>
      </c>
      <c r="M768" s="49" t="str">
        <f ca="1">HLOOKUP(tBase[[#This Row],[Idade]],$P$7:$S$8,2,TRUE)</f>
        <v>54-70</v>
      </c>
    </row>
    <row r="769" spans="2:13">
      <c r="B769" s="48">
        <v>47564971365</v>
      </c>
      <c r="C769" s="49" t="s">
        <v>428</v>
      </c>
      <c r="D769" s="49" t="s">
        <v>43</v>
      </c>
      <c r="E769" s="49" t="s">
        <v>291</v>
      </c>
      <c r="F769" s="49" t="s">
        <v>38</v>
      </c>
      <c r="G769" s="49" t="s">
        <v>52</v>
      </c>
      <c r="H769" s="11">
        <v>30642</v>
      </c>
      <c r="I769" s="11" t="s">
        <v>19</v>
      </c>
      <c r="J769" s="49" t="s">
        <v>41</v>
      </c>
      <c r="K769" s="50">
        <v>29.9</v>
      </c>
      <c r="L769" s="51">
        <f ca="1">TRUNC((TODAY()-tBase[[#This Row],[Data Nascimento]])/365)</f>
        <v>42</v>
      </c>
      <c r="M769" s="49" t="str">
        <f ca="1">HLOOKUP(tBase[[#This Row],[Idade]],$P$7:$S$8,2,TRUE)</f>
        <v>35 - 44</v>
      </c>
    </row>
    <row r="770" spans="2:13">
      <c r="B770" s="48">
        <v>96683513690</v>
      </c>
      <c r="C770" s="49" t="s">
        <v>428</v>
      </c>
      <c r="D770" s="49" t="s">
        <v>43</v>
      </c>
      <c r="E770" s="49" t="s">
        <v>291</v>
      </c>
      <c r="F770" s="49" t="s">
        <v>38</v>
      </c>
      <c r="G770" s="49" t="s">
        <v>52</v>
      </c>
      <c r="H770" s="11">
        <v>34631</v>
      </c>
      <c r="I770" s="11" t="s">
        <v>17</v>
      </c>
      <c r="J770" s="49" t="s">
        <v>41</v>
      </c>
      <c r="K770" s="50">
        <v>29.9</v>
      </c>
      <c r="L770" s="51">
        <f ca="1">TRUNC((TODAY()-tBase[[#This Row],[Data Nascimento]])/365)</f>
        <v>31</v>
      </c>
      <c r="M770" s="49" t="str">
        <f ca="1">HLOOKUP(tBase[[#This Row],[Idade]],$P$7:$S$8,2,TRUE)</f>
        <v>24-34</v>
      </c>
    </row>
    <row r="771" spans="2:13">
      <c r="B771" s="48">
        <v>37966879871</v>
      </c>
      <c r="C771" s="49" t="s">
        <v>429</v>
      </c>
      <c r="D771" s="49" t="s">
        <v>43</v>
      </c>
      <c r="E771" s="49" t="s">
        <v>291</v>
      </c>
      <c r="F771" s="49" t="s">
        <v>59</v>
      </c>
      <c r="G771" s="49" t="s">
        <v>16</v>
      </c>
      <c r="H771" s="11">
        <v>24074</v>
      </c>
      <c r="I771" s="11" t="s">
        <v>19</v>
      </c>
      <c r="J771" s="49" t="s">
        <v>33</v>
      </c>
      <c r="K771" s="50">
        <v>79.900000000000006</v>
      </c>
      <c r="L771" s="51">
        <f ca="1">TRUNC((TODAY()-tBase[[#This Row],[Data Nascimento]])/365)</f>
        <v>60</v>
      </c>
      <c r="M771" s="49" t="str">
        <f ca="1">HLOOKUP(tBase[[#This Row],[Idade]],$P$7:$S$8,2,TRUE)</f>
        <v>54-70</v>
      </c>
    </row>
    <row r="772" spans="2:13">
      <c r="B772" s="48">
        <v>65784346414</v>
      </c>
      <c r="C772" s="49" t="s">
        <v>429</v>
      </c>
      <c r="D772" s="49" t="s">
        <v>43</v>
      </c>
      <c r="E772" s="49" t="s">
        <v>291</v>
      </c>
      <c r="F772" s="49" t="s">
        <v>59</v>
      </c>
      <c r="G772" s="49" t="s">
        <v>16</v>
      </c>
      <c r="H772" s="11">
        <v>36453</v>
      </c>
      <c r="I772" s="11" t="s">
        <v>46</v>
      </c>
      <c r="J772" s="49" t="s">
        <v>33</v>
      </c>
      <c r="K772" s="50">
        <v>79.900000000000006</v>
      </c>
      <c r="L772" s="51">
        <f ca="1">TRUNC((TODAY()-tBase[[#This Row],[Data Nascimento]])/365)</f>
        <v>26</v>
      </c>
      <c r="M772" s="49" t="str">
        <f ca="1">HLOOKUP(tBase[[#This Row],[Idade]],$P$7:$S$8,2,TRUE)</f>
        <v>24-34</v>
      </c>
    </row>
    <row r="773" spans="2:13">
      <c r="B773" s="48">
        <v>40810919120</v>
      </c>
      <c r="C773" s="49" t="s">
        <v>430</v>
      </c>
      <c r="D773" s="49" t="s">
        <v>43</v>
      </c>
      <c r="E773" s="49" t="s">
        <v>291</v>
      </c>
      <c r="F773" s="49" t="s">
        <v>15</v>
      </c>
      <c r="G773" s="49" t="s">
        <v>32</v>
      </c>
      <c r="H773" s="11">
        <v>22131</v>
      </c>
      <c r="I773" s="11" t="s">
        <v>72</v>
      </c>
      <c r="J773" s="49" t="s">
        <v>44</v>
      </c>
      <c r="K773" s="50">
        <v>35.9</v>
      </c>
      <c r="L773" s="51">
        <f ca="1">TRUNC((TODAY()-tBase[[#This Row],[Data Nascimento]])/365)</f>
        <v>65</v>
      </c>
      <c r="M773" s="49" t="str">
        <f ca="1">HLOOKUP(tBase[[#This Row],[Idade]],$P$7:$S$8,2,TRUE)</f>
        <v>54-70</v>
      </c>
    </row>
    <row r="774" spans="2:13">
      <c r="B774" s="48">
        <v>44133248813</v>
      </c>
      <c r="C774" s="49" t="s">
        <v>430</v>
      </c>
      <c r="D774" s="49" t="s">
        <v>43</v>
      </c>
      <c r="E774" s="49" t="s">
        <v>291</v>
      </c>
      <c r="F774" s="49" t="s">
        <v>15</v>
      </c>
      <c r="G774" s="49" t="s">
        <v>32</v>
      </c>
      <c r="H774" s="11">
        <v>31851</v>
      </c>
      <c r="I774" s="11" t="s">
        <v>21</v>
      </c>
      <c r="J774" s="49" t="s">
        <v>44</v>
      </c>
      <c r="K774" s="50">
        <v>35.9</v>
      </c>
      <c r="L774" s="51">
        <f ca="1">TRUNC((TODAY()-tBase[[#This Row],[Data Nascimento]])/365)</f>
        <v>39</v>
      </c>
      <c r="M774" s="49" t="str">
        <f ca="1">HLOOKUP(tBase[[#This Row],[Idade]],$P$7:$S$8,2,TRUE)</f>
        <v>35 - 44</v>
      </c>
    </row>
    <row r="775" spans="2:13">
      <c r="B775" s="48">
        <v>33221309333</v>
      </c>
      <c r="C775" s="49" t="s">
        <v>431</v>
      </c>
      <c r="D775" s="49" t="s">
        <v>43</v>
      </c>
      <c r="E775" s="49" t="s">
        <v>291</v>
      </c>
      <c r="F775" s="49" t="s">
        <v>59</v>
      </c>
      <c r="G775" s="49" t="s">
        <v>52</v>
      </c>
      <c r="H775" s="11">
        <v>22002</v>
      </c>
      <c r="I775" s="11" t="s">
        <v>17</v>
      </c>
      <c r="J775" s="49" t="s">
        <v>18</v>
      </c>
      <c r="K775" s="50">
        <v>9.9</v>
      </c>
      <c r="L775" s="51">
        <f ca="1">TRUNC((TODAY()-tBase[[#This Row],[Data Nascimento]])/365)</f>
        <v>66</v>
      </c>
      <c r="M775" s="49" t="str">
        <f ca="1">HLOOKUP(tBase[[#This Row],[Idade]],$P$7:$S$8,2,TRUE)</f>
        <v>54-70</v>
      </c>
    </row>
    <row r="776" spans="2:13">
      <c r="B776" s="48">
        <v>63042983789</v>
      </c>
      <c r="C776" s="49" t="s">
        <v>431</v>
      </c>
      <c r="D776" s="49" t="s">
        <v>43</v>
      </c>
      <c r="E776" s="49" t="s">
        <v>291</v>
      </c>
      <c r="F776" s="49" t="s">
        <v>59</v>
      </c>
      <c r="G776" s="49" t="s">
        <v>52</v>
      </c>
      <c r="H776" s="11">
        <v>32663</v>
      </c>
      <c r="I776" s="11" t="s">
        <v>46</v>
      </c>
      <c r="J776" s="49" t="s">
        <v>18</v>
      </c>
      <c r="K776" s="50">
        <v>9.9</v>
      </c>
      <c r="L776" s="51">
        <f ca="1">TRUNC((TODAY()-tBase[[#This Row],[Data Nascimento]])/365)</f>
        <v>36</v>
      </c>
      <c r="M776" s="49" t="str">
        <f ca="1">HLOOKUP(tBase[[#This Row],[Idade]],$P$7:$S$8,2,TRUE)</f>
        <v>35 - 44</v>
      </c>
    </row>
    <row r="777" spans="2:13">
      <c r="B777" s="48">
        <v>24476290628</v>
      </c>
      <c r="C777" s="49" t="s">
        <v>432</v>
      </c>
      <c r="D777" s="49" t="s">
        <v>43</v>
      </c>
      <c r="E777" s="49" t="s">
        <v>291</v>
      </c>
      <c r="F777" s="49" t="s">
        <v>62</v>
      </c>
      <c r="G777" s="49" t="s">
        <v>52</v>
      </c>
      <c r="H777" s="11">
        <v>27317</v>
      </c>
      <c r="I777" s="11" t="s">
        <v>46</v>
      </c>
      <c r="J777" s="49" t="s">
        <v>18</v>
      </c>
      <c r="K777" s="50">
        <v>9.9</v>
      </c>
      <c r="L777" s="51">
        <f ca="1">TRUNC((TODAY()-tBase[[#This Row],[Data Nascimento]])/365)</f>
        <v>51</v>
      </c>
      <c r="M777" s="49" t="str">
        <f ca="1">HLOOKUP(tBase[[#This Row],[Idade]],$P$7:$S$8,2,TRUE)</f>
        <v>44 - 54</v>
      </c>
    </row>
    <row r="778" spans="2:13">
      <c r="B778" s="48">
        <v>59003331678</v>
      </c>
      <c r="C778" s="49" t="s">
        <v>432</v>
      </c>
      <c r="D778" s="49" t="s">
        <v>43</v>
      </c>
      <c r="E778" s="49" t="s">
        <v>291</v>
      </c>
      <c r="F778" s="49" t="s">
        <v>62</v>
      </c>
      <c r="G778" s="49" t="s">
        <v>52</v>
      </c>
      <c r="H778" s="11">
        <v>32152</v>
      </c>
      <c r="I778" s="11" t="s">
        <v>19</v>
      </c>
      <c r="J778" s="49" t="s">
        <v>18</v>
      </c>
      <c r="K778" s="50">
        <v>9.9</v>
      </c>
      <c r="L778" s="51">
        <f ca="1">TRUNC((TODAY()-tBase[[#This Row],[Data Nascimento]])/365)</f>
        <v>38</v>
      </c>
      <c r="M778" s="49" t="str">
        <f ca="1">HLOOKUP(tBase[[#This Row],[Idade]],$P$7:$S$8,2,TRUE)</f>
        <v>35 - 44</v>
      </c>
    </row>
    <row r="779" spans="2:13">
      <c r="B779" s="48">
        <v>30557538193</v>
      </c>
      <c r="C779" s="49" t="s">
        <v>433</v>
      </c>
      <c r="D779" s="49" t="s">
        <v>43</v>
      </c>
      <c r="E779" s="49" t="s">
        <v>291</v>
      </c>
      <c r="F779" s="49" t="s">
        <v>38</v>
      </c>
      <c r="G779" s="49" t="s">
        <v>16</v>
      </c>
      <c r="H779" s="11">
        <v>25529</v>
      </c>
      <c r="I779" s="11" t="s">
        <v>46</v>
      </c>
      <c r="J779" s="49" t="s">
        <v>44</v>
      </c>
      <c r="K779" s="50">
        <v>35.9</v>
      </c>
      <c r="L779" s="51">
        <f ca="1">TRUNC((TODAY()-tBase[[#This Row],[Data Nascimento]])/365)</f>
        <v>56</v>
      </c>
      <c r="M779" s="49" t="str">
        <f ca="1">HLOOKUP(tBase[[#This Row],[Idade]],$P$7:$S$8,2,TRUE)</f>
        <v>54-70</v>
      </c>
    </row>
    <row r="780" spans="2:13">
      <c r="B780" s="48">
        <v>61123160920</v>
      </c>
      <c r="C780" s="49" t="s">
        <v>433</v>
      </c>
      <c r="D780" s="49" t="s">
        <v>43</v>
      </c>
      <c r="E780" s="49" t="s">
        <v>291</v>
      </c>
      <c r="F780" s="49" t="s">
        <v>38</v>
      </c>
      <c r="G780" s="49" t="s">
        <v>16</v>
      </c>
      <c r="H780" s="11">
        <v>31092</v>
      </c>
      <c r="I780" s="11" t="s">
        <v>21</v>
      </c>
      <c r="J780" s="49" t="s">
        <v>44</v>
      </c>
      <c r="K780" s="50">
        <v>35.9</v>
      </c>
      <c r="L780" s="51">
        <f ca="1">TRUNC((TODAY()-tBase[[#This Row],[Data Nascimento]])/365)</f>
        <v>41</v>
      </c>
      <c r="M780" s="49" t="str">
        <f ca="1">HLOOKUP(tBase[[#This Row],[Idade]],$P$7:$S$8,2,TRUE)</f>
        <v>35 - 44</v>
      </c>
    </row>
    <row r="781" spans="2:13">
      <c r="B781" s="48">
        <v>49996091120</v>
      </c>
      <c r="C781" s="49" t="s">
        <v>434</v>
      </c>
      <c r="D781" s="49" t="s">
        <v>43</v>
      </c>
      <c r="E781" s="49" t="s">
        <v>291</v>
      </c>
      <c r="F781" s="49" t="s">
        <v>40</v>
      </c>
      <c r="G781" s="49" t="s">
        <v>16</v>
      </c>
      <c r="H781" s="11">
        <v>20435</v>
      </c>
      <c r="I781" s="11" t="s">
        <v>17</v>
      </c>
      <c r="J781" s="49" t="s">
        <v>41</v>
      </c>
      <c r="K781" s="50">
        <v>29.9</v>
      </c>
      <c r="L781" s="51">
        <f ca="1">TRUNC((TODAY()-tBase[[#This Row],[Data Nascimento]])/365)</f>
        <v>70</v>
      </c>
      <c r="M781" s="49" t="str">
        <f ca="1">HLOOKUP(tBase[[#This Row],[Idade]],$P$7:$S$8,2,TRUE)</f>
        <v>54-70</v>
      </c>
    </row>
    <row r="782" spans="2:13">
      <c r="B782" s="48">
        <v>80034583746</v>
      </c>
      <c r="C782" s="49" t="s">
        <v>434</v>
      </c>
      <c r="D782" s="49" t="s">
        <v>43</v>
      </c>
      <c r="E782" s="49" t="s">
        <v>291</v>
      </c>
      <c r="F782" s="49" t="s">
        <v>40</v>
      </c>
      <c r="G782" s="49" t="s">
        <v>16</v>
      </c>
      <c r="H782" s="11">
        <v>27478</v>
      </c>
      <c r="I782" s="11" t="s">
        <v>24</v>
      </c>
      <c r="J782" s="49" t="s">
        <v>41</v>
      </c>
      <c r="K782" s="50">
        <v>29.9</v>
      </c>
      <c r="L782" s="51">
        <f ca="1">TRUNC((TODAY()-tBase[[#This Row],[Data Nascimento]])/365)</f>
        <v>51</v>
      </c>
      <c r="M782" s="49" t="str">
        <f ca="1">HLOOKUP(tBase[[#This Row],[Idade]],$P$7:$S$8,2,TRUE)</f>
        <v>44 - 54</v>
      </c>
    </row>
    <row r="783" spans="2:13">
      <c r="B783" s="48">
        <v>43739297869</v>
      </c>
      <c r="C783" s="49" t="s">
        <v>435</v>
      </c>
      <c r="D783" s="49" t="s">
        <v>43</v>
      </c>
      <c r="E783" s="49" t="s">
        <v>291</v>
      </c>
      <c r="F783" s="49" t="s">
        <v>38</v>
      </c>
      <c r="G783" s="49" t="s">
        <v>52</v>
      </c>
      <c r="H783" s="11">
        <v>34238</v>
      </c>
      <c r="I783" s="11" t="s">
        <v>19</v>
      </c>
      <c r="J783" s="49" t="s">
        <v>18</v>
      </c>
      <c r="K783" s="50">
        <v>9.9</v>
      </c>
      <c r="L783" s="51">
        <f ca="1">TRUNC((TODAY()-tBase[[#This Row],[Data Nascimento]])/365)</f>
        <v>32</v>
      </c>
      <c r="M783" s="49" t="str">
        <f ca="1">HLOOKUP(tBase[[#This Row],[Idade]],$P$7:$S$8,2,TRUE)</f>
        <v>24-34</v>
      </c>
    </row>
    <row r="784" spans="2:13">
      <c r="B784" s="48">
        <v>57304884506</v>
      </c>
      <c r="C784" s="49" t="s">
        <v>435</v>
      </c>
      <c r="D784" s="49" t="s">
        <v>43</v>
      </c>
      <c r="E784" s="49" t="s">
        <v>291</v>
      </c>
      <c r="F784" s="49" t="s">
        <v>38</v>
      </c>
      <c r="G784" s="49" t="s">
        <v>52</v>
      </c>
      <c r="H784" s="11">
        <v>26161</v>
      </c>
      <c r="I784" s="11" t="s">
        <v>36</v>
      </c>
      <c r="J784" s="49" t="s">
        <v>18</v>
      </c>
      <c r="K784" s="50">
        <v>9.9</v>
      </c>
      <c r="L784" s="51">
        <f ca="1">TRUNC((TODAY()-tBase[[#This Row],[Data Nascimento]])/365)</f>
        <v>54</v>
      </c>
      <c r="M784" s="49" t="str">
        <f ca="1">HLOOKUP(tBase[[#This Row],[Idade]],$P$7:$S$8,2,TRUE)</f>
        <v>54-70</v>
      </c>
    </row>
    <row r="785" spans="2:13">
      <c r="B785" s="48">
        <v>44417946805</v>
      </c>
      <c r="C785" s="49" t="s">
        <v>436</v>
      </c>
      <c r="D785" s="49" t="s">
        <v>43</v>
      </c>
      <c r="E785" s="49" t="s">
        <v>291</v>
      </c>
      <c r="F785" s="49" t="s">
        <v>59</v>
      </c>
      <c r="G785" s="49" t="s">
        <v>52</v>
      </c>
      <c r="H785" s="11">
        <v>28177</v>
      </c>
      <c r="I785" s="11" t="s">
        <v>24</v>
      </c>
      <c r="J785" s="49" t="s">
        <v>44</v>
      </c>
      <c r="K785" s="50">
        <v>35.9</v>
      </c>
      <c r="L785" s="51">
        <f ca="1">TRUNC((TODAY()-tBase[[#This Row],[Data Nascimento]])/365)</f>
        <v>49</v>
      </c>
      <c r="M785" s="49" t="str">
        <f ca="1">HLOOKUP(tBase[[#This Row],[Idade]],$P$7:$S$8,2,TRUE)</f>
        <v>44 - 54</v>
      </c>
    </row>
    <row r="786" spans="2:13">
      <c r="B786" s="48">
        <v>85741899575</v>
      </c>
      <c r="C786" s="49" t="s">
        <v>436</v>
      </c>
      <c r="D786" s="49" t="s">
        <v>43</v>
      </c>
      <c r="E786" s="49" t="s">
        <v>291</v>
      </c>
      <c r="F786" s="49" t="s">
        <v>59</v>
      </c>
      <c r="G786" s="49" t="s">
        <v>52</v>
      </c>
      <c r="H786" s="11">
        <v>23831</v>
      </c>
      <c r="I786" s="11" t="s">
        <v>19</v>
      </c>
      <c r="J786" s="49" t="s">
        <v>44</v>
      </c>
      <c r="K786" s="50">
        <v>35.9</v>
      </c>
      <c r="L786" s="51">
        <f ca="1">TRUNC((TODAY()-tBase[[#This Row],[Data Nascimento]])/365)</f>
        <v>61</v>
      </c>
      <c r="M786" s="49" t="str">
        <f ca="1">HLOOKUP(tBase[[#This Row],[Idade]],$P$7:$S$8,2,TRUE)</f>
        <v>54-70</v>
      </c>
    </row>
    <row r="787" spans="2:13">
      <c r="B787" s="48">
        <v>31654890307</v>
      </c>
      <c r="C787" s="49" t="s">
        <v>437</v>
      </c>
      <c r="D787" s="49" t="s">
        <v>43</v>
      </c>
      <c r="E787" s="49" t="s">
        <v>291</v>
      </c>
      <c r="F787" s="49" t="s">
        <v>15</v>
      </c>
      <c r="G787" s="49" t="s">
        <v>16</v>
      </c>
      <c r="H787" s="11">
        <v>21193</v>
      </c>
      <c r="I787" s="11" t="s">
        <v>72</v>
      </c>
      <c r="J787" s="49" t="s">
        <v>18</v>
      </c>
      <c r="K787" s="50">
        <v>9.9</v>
      </c>
      <c r="L787" s="51">
        <f ca="1">TRUNC((TODAY()-tBase[[#This Row],[Data Nascimento]])/365)</f>
        <v>68</v>
      </c>
      <c r="M787" s="49" t="str">
        <f ca="1">HLOOKUP(tBase[[#This Row],[Idade]],$P$7:$S$8,2,TRUE)</f>
        <v>54-70</v>
      </c>
    </row>
    <row r="788" spans="2:13">
      <c r="B788" s="48">
        <v>66893530711</v>
      </c>
      <c r="C788" s="49" t="s">
        <v>437</v>
      </c>
      <c r="D788" s="49" t="s">
        <v>43</v>
      </c>
      <c r="E788" s="49" t="s">
        <v>291</v>
      </c>
      <c r="F788" s="49" t="s">
        <v>15</v>
      </c>
      <c r="G788" s="49" t="s">
        <v>16</v>
      </c>
      <c r="H788" s="11">
        <v>31975</v>
      </c>
      <c r="I788" s="11" t="s">
        <v>17</v>
      </c>
      <c r="J788" s="49" t="s">
        <v>18</v>
      </c>
      <c r="K788" s="50">
        <v>9.9</v>
      </c>
      <c r="L788" s="51">
        <f ca="1">TRUNC((TODAY()-tBase[[#This Row],[Data Nascimento]])/365)</f>
        <v>38</v>
      </c>
      <c r="M788" s="49" t="str">
        <f ca="1">HLOOKUP(tBase[[#This Row],[Idade]],$P$7:$S$8,2,TRUE)</f>
        <v>35 - 44</v>
      </c>
    </row>
    <row r="789" spans="2:13">
      <c r="B789" s="48">
        <v>36049081781</v>
      </c>
      <c r="C789" s="49" t="s">
        <v>438</v>
      </c>
      <c r="D789" s="49" t="s">
        <v>43</v>
      </c>
      <c r="E789" s="49" t="s">
        <v>291</v>
      </c>
      <c r="F789" s="49" t="s">
        <v>38</v>
      </c>
      <c r="G789" s="49" t="s">
        <v>16</v>
      </c>
      <c r="H789" s="11">
        <v>30194</v>
      </c>
      <c r="I789" s="11" t="s">
        <v>19</v>
      </c>
      <c r="J789" s="49" t="s">
        <v>44</v>
      </c>
      <c r="K789" s="50">
        <v>35.9</v>
      </c>
      <c r="L789" s="51">
        <f ca="1">TRUNC((TODAY()-tBase[[#This Row],[Data Nascimento]])/365)</f>
        <v>43</v>
      </c>
      <c r="M789" s="49" t="str">
        <f ca="1">HLOOKUP(tBase[[#This Row],[Idade]],$P$7:$S$8,2,TRUE)</f>
        <v>35 - 44</v>
      </c>
    </row>
    <row r="790" spans="2:13">
      <c r="B790" s="48">
        <v>43251978310</v>
      </c>
      <c r="C790" s="49" t="s">
        <v>438</v>
      </c>
      <c r="D790" s="49" t="s">
        <v>43</v>
      </c>
      <c r="E790" s="49" t="s">
        <v>291</v>
      </c>
      <c r="F790" s="49" t="s">
        <v>38</v>
      </c>
      <c r="G790" s="49" t="s">
        <v>16</v>
      </c>
      <c r="H790" s="11">
        <v>27466</v>
      </c>
      <c r="I790" s="11" t="s">
        <v>17</v>
      </c>
      <c r="J790" s="49" t="s">
        <v>44</v>
      </c>
      <c r="K790" s="50">
        <v>35.9</v>
      </c>
      <c r="L790" s="51">
        <f ca="1">TRUNC((TODAY()-tBase[[#This Row],[Data Nascimento]])/365)</f>
        <v>51</v>
      </c>
      <c r="M790" s="49" t="str">
        <f ca="1">HLOOKUP(tBase[[#This Row],[Idade]],$P$7:$S$8,2,TRUE)</f>
        <v>44 - 54</v>
      </c>
    </row>
    <row r="791" spans="2:13">
      <c r="B791" s="48">
        <v>35090452105</v>
      </c>
      <c r="C791" s="49" t="s">
        <v>439</v>
      </c>
      <c r="D791" s="49" t="s">
        <v>43</v>
      </c>
      <c r="E791" s="49" t="s">
        <v>291</v>
      </c>
      <c r="F791" s="49" t="s">
        <v>62</v>
      </c>
      <c r="G791" s="49" t="s">
        <v>16</v>
      </c>
      <c r="H791" s="11">
        <v>23517</v>
      </c>
      <c r="I791" s="11" t="s">
        <v>46</v>
      </c>
      <c r="J791" s="49" t="s">
        <v>18</v>
      </c>
      <c r="K791" s="50">
        <v>9.9</v>
      </c>
      <c r="L791" s="51">
        <f ca="1">TRUNC((TODAY()-tBase[[#This Row],[Data Nascimento]])/365)</f>
        <v>61</v>
      </c>
      <c r="M791" s="49" t="str">
        <f ca="1">HLOOKUP(tBase[[#This Row],[Idade]],$P$7:$S$8,2,TRUE)</f>
        <v>54-70</v>
      </c>
    </row>
    <row r="792" spans="2:13">
      <c r="B792" s="48">
        <v>57970733283</v>
      </c>
      <c r="C792" s="49" t="s">
        <v>439</v>
      </c>
      <c r="D792" s="49" t="s">
        <v>43</v>
      </c>
      <c r="E792" s="49" t="s">
        <v>291</v>
      </c>
      <c r="F792" s="49" t="s">
        <v>62</v>
      </c>
      <c r="G792" s="49" t="s">
        <v>16</v>
      </c>
      <c r="H792" s="11">
        <v>24061</v>
      </c>
      <c r="I792" s="11" t="s">
        <v>17</v>
      </c>
      <c r="J792" s="49" t="s">
        <v>18</v>
      </c>
      <c r="K792" s="50">
        <v>9.9</v>
      </c>
      <c r="L792" s="51">
        <f ca="1">TRUNC((TODAY()-tBase[[#This Row],[Data Nascimento]])/365)</f>
        <v>60</v>
      </c>
      <c r="M792" s="49" t="str">
        <f ca="1">HLOOKUP(tBase[[#This Row],[Idade]],$P$7:$S$8,2,TRUE)</f>
        <v>54-70</v>
      </c>
    </row>
    <row r="793" spans="2:13">
      <c r="B793" s="48">
        <v>39680758592</v>
      </c>
      <c r="C793" s="49" t="s">
        <v>440</v>
      </c>
      <c r="D793" s="49" t="s">
        <v>43</v>
      </c>
      <c r="E793" s="49" t="s">
        <v>291</v>
      </c>
      <c r="F793" s="49" t="s">
        <v>38</v>
      </c>
      <c r="G793" s="49" t="s">
        <v>16</v>
      </c>
      <c r="H793" s="11">
        <v>32253</v>
      </c>
      <c r="I793" s="11" t="s">
        <v>19</v>
      </c>
      <c r="J793" s="49" t="s">
        <v>18</v>
      </c>
      <c r="K793" s="50">
        <v>9.9</v>
      </c>
      <c r="L793" s="51">
        <f ca="1">TRUNC((TODAY()-tBase[[#This Row],[Data Nascimento]])/365)</f>
        <v>37</v>
      </c>
      <c r="M793" s="49" t="str">
        <f ca="1">HLOOKUP(tBase[[#This Row],[Idade]],$P$7:$S$8,2,TRUE)</f>
        <v>35 - 44</v>
      </c>
    </row>
    <row r="794" spans="2:13">
      <c r="B794" s="48">
        <v>52175547539</v>
      </c>
      <c r="C794" s="49" t="s">
        <v>440</v>
      </c>
      <c r="D794" s="49" t="s">
        <v>43</v>
      </c>
      <c r="E794" s="49" t="s">
        <v>291</v>
      </c>
      <c r="F794" s="49" t="s">
        <v>38</v>
      </c>
      <c r="G794" s="49" t="s">
        <v>16</v>
      </c>
      <c r="H794" s="11">
        <v>31675</v>
      </c>
      <c r="I794" s="11" t="s">
        <v>36</v>
      </c>
      <c r="J794" s="49" t="s">
        <v>18</v>
      </c>
      <c r="K794" s="50">
        <v>9.9</v>
      </c>
      <c r="L794" s="51">
        <f ca="1">TRUNC((TODAY()-tBase[[#This Row],[Data Nascimento]])/365)</f>
        <v>39</v>
      </c>
      <c r="M794" s="49" t="str">
        <f ca="1">HLOOKUP(tBase[[#This Row],[Idade]],$P$7:$S$8,2,TRUE)</f>
        <v>35 - 44</v>
      </c>
    </row>
    <row r="795" spans="2:13">
      <c r="B795" s="48">
        <v>27882905440</v>
      </c>
      <c r="C795" s="49" t="s">
        <v>441</v>
      </c>
      <c r="D795" s="49" t="s">
        <v>43</v>
      </c>
      <c r="E795" s="49" t="s">
        <v>291</v>
      </c>
      <c r="F795" s="49" t="s">
        <v>15</v>
      </c>
      <c r="G795" s="49" t="s">
        <v>32</v>
      </c>
      <c r="H795" s="11">
        <v>30770</v>
      </c>
      <c r="I795" s="11" t="s">
        <v>24</v>
      </c>
      <c r="J795" s="49" t="s">
        <v>44</v>
      </c>
      <c r="K795" s="50">
        <v>35.9</v>
      </c>
      <c r="L795" s="51">
        <f ca="1">TRUNC((TODAY()-tBase[[#This Row],[Data Nascimento]])/365)</f>
        <v>42</v>
      </c>
      <c r="M795" s="49" t="str">
        <f ca="1">HLOOKUP(tBase[[#This Row],[Idade]],$P$7:$S$8,2,TRUE)</f>
        <v>35 - 44</v>
      </c>
    </row>
    <row r="796" spans="2:13">
      <c r="B796" s="48">
        <v>53634568625</v>
      </c>
      <c r="C796" s="49" t="s">
        <v>441</v>
      </c>
      <c r="D796" s="49" t="s">
        <v>43</v>
      </c>
      <c r="E796" s="49" t="s">
        <v>291</v>
      </c>
      <c r="F796" s="49" t="s">
        <v>15</v>
      </c>
      <c r="G796" s="49" t="s">
        <v>32</v>
      </c>
      <c r="H796" s="11">
        <v>29711</v>
      </c>
      <c r="I796" s="11" t="s">
        <v>17</v>
      </c>
      <c r="J796" s="49" t="s">
        <v>44</v>
      </c>
      <c r="K796" s="50">
        <v>35.9</v>
      </c>
      <c r="L796" s="51">
        <f ca="1">TRUNC((TODAY()-tBase[[#This Row],[Data Nascimento]])/365)</f>
        <v>44</v>
      </c>
      <c r="M796" s="49" t="str">
        <f ca="1">HLOOKUP(tBase[[#This Row],[Idade]],$P$7:$S$8,2,TRUE)</f>
        <v>44 - 54</v>
      </c>
    </row>
    <row r="797" spans="2:13">
      <c r="B797" s="48">
        <v>42745218846</v>
      </c>
      <c r="C797" s="49" t="s">
        <v>442</v>
      </c>
      <c r="D797" s="49" t="s">
        <v>43</v>
      </c>
      <c r="E797" s="49" t="s">
        <v>291</v>
      </c>
      <c r="F797" s="49" t="s">
        <v>38</v>
      </c>
      <c r="G797" s="49" t="s">
        <v>52</v>
      </c>
      <c r="H797" s="11">
        <v>28738</v>
      </c>
      <c r="I797" s="11" t="s">
        <v>19</v>
      </c>
      <c r="J797" s="49" t="s">
        <v>44</v>
      </c>
      <c r="K797" s="50">
        <v>35.9</v>
      </c>
      <c r="L797" s="51">
        <f ca="1">TRUNC((TODAY()-tBase[[#This Row],[Data Nascimento]])/365)</f>
        <v>47</v>
      </c>
      <c r="M797" s="49" t="str">
        <f ca="1">HLOOKUP(tBase[[#This Row],[Idade]],$P$7:$S$8,2,TRUE)</f>
        <v>44 - 54</v>
      </c>
    </row>
    <row r="798" spans="2:13">
      <c r="B798" s="48">
        <v>49141215224</v>
      </c>
      <c r="C798" s="49" t="s">
        <v>442</v>
      </c>
      <c r="D798" s="49" t="s">
        <v>43</v>
      </c>
      <c r="E798" s="49" t="s">
        <v>291</v>
      </c>
      <c r="F798" s="49" t="s">
        <v>38</v>
      </c>
      <c r="G798" s="49" t="s">
        <v>52</v>
      </c>
      <c r="H798" s="11">
        <v>20251</v>
      </c>
      <c r="I798" s="11" t="s">
        <v>17</v>
      </c>
      <c r="J798" s="49" t="s">
        <v>44</v>
      </c>
      <c r="K798" s="50">
        <v>35.9</v>
      </c>
      <c r="L798" s="51">
        <f ca="1">TRUNC((TODAY()-tBase[[#This Row],[Data Nascimento]])/365)</f>
        <v>70</v>
      </c>
      <c r="M798" s="49" t="str">
        <f ca="1">HLOOKUP(tBase[[#This Row],[Idade]],$P$7:$S$8,2,TRUE)</f>
        <v>54-70</v>
      </c>
    </row>
    <row r="799" spans="2:13">
      <c r="B799" s="48">
        <v>34161309302</v>
      </c>
      <c r="C799" s="49" t="s">
        <v>443</v>
      </c>
      <c r="D799" s="49" t="s">
        <v>43</v>
      </c>
      <c r="E799" s="49" t="s">
        <v>291</v>
      </c>
      <c r="F799" s="49" t="s">
        <v>38</v>
      </c>
      <c r="G799" s="49" t="s">
        <v>16</v>
      </c>
      <c r="H799" s="11">
        <v>34830</v>
      </c>
      <c r="I799" s="11" t="s">
        <v>46</v>
      </c>
      <c r="J799" s="49" t="s">
        <v>44</v>
      </c>
      <c r="K799" s="50">
        <v>35.9</v>
      </c>
      <c r="L799" s="51">
        <f ca="1">TRUNC((TODAY()-tBase[[#This Row],[Data Nascimento]])/365)</f>
        <v>30</v>
      </c>
      <c r="M799" s="49" t="str">
        <f ca="1">HLOOKUP(tBase[[#This Row],[Idade]],$P$7:$S$8,2,TRUE)</f>
        <v>24-34</v>
      </c>
    </row>
    <row r="800" spans="2:13">
      <c r="B800" s="48">
        <v>69275333938</v>
      </c>
      <c r="C800" s="49" t="s">
        <v>443</v>
      </c>
      <c r="D800" s="49" t="s">
        <v>43</v>
      </c>
      <c r="E800" s="49" t="s">
        <v>291</v>
      </c>
      <c r="F800" s="49" t="s">
        <v>38</v>
      </c>
      <c r="G800" s="49" t="s">
        <v>16</v>
      </c>
      <c r="H800" s="11">
        <v>27242</v>
      </c>
      <c r="I800" s="11" t="s">
        <v>17</v>
      </c>
      <c r="J800" s="49" t="s">
        <v>44</v>
      </c>
      <c r="K800" s="50">
        <v>35.9</v>
      </c>
      <c r="L800" s="51">
        <f ca="1">TRUNC((TODAY()-tBase[[#This Row],[Data Nascimento]])/365)</f>
        <v>51</v>
      </c>
      <c r="M800" s="49" t="str">
        <f ca="1">HLOOKUP(tBase[[#This Row],[Idade]],$P$7:$S$8,2,TRUE)</f>
        <v>44 - 54</v>
      </c>
    </row>
    <row r="801" spans="2:13">
      <c r="B801" s="48">
        <v>43449469621</v>
      </c>
      <c r="C801" s="49" t="s">
        <v>444</v>
      </c>
      <c r="D801" s="49" t="s">
        <v>43</v>
      </c>
      <c r="E801" s="49" t="s">
        <v>291</v>
      </c>
      <c r="F801" s="49" t="s">
        <v>40</v>
      </c>
      <c r="G801" s="49" t="s">
        <v>32</v>
      </c>
      <c r="H801" s="11">
        <v>25723</v>
      </c>
      <c r="I801" s="11" t="s">
        <v>19</v>
      </c>
      <c r="J801" s="49" t="s">
        <v>41</v>
      </c>
      <c r="K801" s="50">
        <v>29.9</v>
      </c>
      <c r="L801" s="51">
        <f ca="1">TRUNC((TODAY()-tBase[[#This Row],[Data Nascimento]])/365)</f>
        <v>55</v>
      </c>
      <c r="M801" s="49" t="str">
        <f ca="1">HLOOKUP(tBase[[#This Row],[Idade]],$P$7:$S$8,2,TRUE)</f>
        <v>54-70</v>
      </c>
    </row>
    <row r="802" spans="2:13">
      <c r="B802" s="48">
        <v>67780271893</v>
      </c>
      <c r="C802" s="49" t="s">
        <v>444</v>
      </c>
      <c r="D802" s="49" t="s">
        <v>43</v>
      </c>
      <c r="E802" s="49" t="s">
        <v>291</v>
      </c>
      <c r="F802" s="49" t="s">
        <v>40</v>
      </c>
      <c r="G802" s="49" t="s">
        <v>32</v>
      </c>
      <c r="H802" s="11">
        <v>33389</v>
      </c>
      <c r="I802" s="11" t="s">
        <v>24</v>
      </c>
      <c r="J802" s="49" t="s">
        <v>41</v>
      </c>
      <c r="K802" s="50">
        <v>29.9</v>
      </c>
      <c r="L802" s="51">
        <f ca="1">TRUNC((TODAY()-tBase[[#This Row],[Data Nascimento]])/365)</f>
        <v>34</v>
      </c>
      <c r="M802" s="49" t="str">
        <f ca="1">HLOOKUP(tBase[[#This Row],[Idade]],$P$7:$S$8,2,TRUE)</f>
        <v>24-34</v>
      </c>
    </row>
    <row r="803" spans="2:13">
      <c r="B803" s="48">
        <v>45125322860</v>
      </c>
      <c r="C803" s="49" t="s">
        <v>445</v>
      </c>
      <c r="D803" s="49" t="s">
        <v>43</v>
      </c>
      <c r="E803" s="49" t="s">
        <v>291</v>
      </c>
      <c r="F803" s="49" t="s">
        <v>40</v>
      </c>
      <c r="G803" s="49" t="s">
        <v>32</v>
      </c>
      <c r="H803" s="11">
        <v>31552</v>
      </c>
      <c r="I803" s="11" t="s">
        <v>19</v>
      </c>
      <c r="J803" s="49" t="s">
        <v>18</v>
      </c>
      <c r="K803" s="50">
        <v>9.9</v>
      </c>
      <c r="L803" s="51">
        <f ca="1">TRUNC((TODAY()-tBase[[#This Row],[Data Nascimento]])/365)</f>
        <v>39</v>
      </c>
      <c r="M803" s="49" t="str">
        <f ca="1">HLOOKUP(tBase[[#This Row],[Idade]],$P$7:$S$8,2,TRUE)</f>
        <v>35 - 44</v>
      </c>
    </row>
    <row r="804" spans="2:13">
      <c r="B804" s="48">
        <v>51815365690</v>
      </c>
      <c r="C804" s="49" t="s">
        <v>445</v>
      </c>
      <c r="D804" s="49" t="s">
        <v>43</v>
      </c>
      <c r="E804" s="49" t="s">
        <v>291</v>
      </c>
      <c r="F804" s="49" t="s">
        <v>40</v>
      </c>
      <c r="G804" s="49" t="s">
        <v>32</v>
      </c>
      <c r="H804" s="11">
        <v>23176</v>
      </c>
      <c r="I804" s="11" t="s">
        <v>17</v>
      </c>
      <c r="J804" s="49" t="s">
        <v>18</v>
      </c>
      <c r="K804" s="50">
        <v>9.9</v>
      </c>
      <c r="L804" s="51">
        <f ca="1">TRUNC((TODAY()-tBase[[#This Row],[Data Nascimento]])/365)</f>
        <v>62</v>
      </c>
      <c r="M804" s="49" t="str">
        <f ca="1">HLOOKUP(tBase[[#This Row],[Idade]],$P$7:$S$8,2,TRUE)</f>
        <v>54-70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A6C0-EA74-4BEC-9B56-B7291FEEF6CA}">
  <sheetPr>
    <tabColor theme="4"/>
  </sheetPr>
  <dimension ref="V27:W41"/>
  <sheetViews>
    <sheetView showGridLines="0" zoomScale="75" zoomScaleNormal="90" workbookViewId="0">
      <selection activeCell="V39" sqref="V39"/>
    </sheetView>
  </sheetViews>
  <sheetFormatPr baseColWidth="10" defaultColWidth="8.83203125" defaultRowHeight="14"/>
  <sheetData>
    <row r="27" spans="22:23" ht="16">
      <c r="V27" s="6" t="s">
        <v>446</v>
      </c>
      <c r="W27" s="32"/>
    </row>
    <row r="28" spans="22:23" ht="24">
      <c r="V28" s="7" t="s">
        <v>447</v>
      </c>
      <c r="W28" s="32"/>
    </row>
    <row r="29" spans="22:23" ht="16">
      <c r="V29" s="32"/>
      <c r="W29" s="32"/>
    </row>
    <row r="30" spans="22:23" ht="16">
      <c r="V30" s="32"/>
      <c r="W30" s="32"/>
    </row>
    <row r="31" spans="22:23" ht="16">
      <c r="V31" s="6" t="s">
        <v>448</v>
      </c>
      <c r="W31" s="32"/>
    </row>
    <row r="32" spans="22:23" ht="16">
      <c r="V32" s="32"/>
      <c r="W32" s="32"/>
    </row>
    <row r="33" spans="22:23" ht="16">
      <c r="V33" s="33"/>
      <c r="W33" s="32" t="s">
        <v>449</v>
      </c>
    </row>
    <row r="34" spans="22:23" ht="16">
      <c r="V34" s="32"/>
      <c r="W34" s="32"/>
    </row>
    <row r="35" spans="22:23" ht="16">
      <c r="V35" s="34"/>
      <c r="W35" s="32" t="s">
        <v>450</v>
      </c>
    </row>
    <row r="36" spans="22:23" ht="16">
      <c r="V36" s="32"/>
      <c r="W36" s="32"/>
    </row>
    <row r="37" spans="22:23" ht="16">
      <c r="V37" s="35"/>
      <c r="W37" s="32" t="s">
        <v>451</v>
      </c>
    </row>
    <row r="38" spans="22:23" ht="16">
      <c r="V38" s="32"/>
      <c r="W38" s="32"/>
    </row>
    <row r="39" spans="22:23" ht="16">
      <c r="V39" s="36"/>
      <c r="W39" s="32" t="s">
        <v>452</v>
      </c>
    </row>
    <row r="40" spans="22:23" ht="16">
      <c r="V40" s="32"/>
      <c r="W40" s="32"/>
    </row>
    <row r="41" spans="22:23" ht="16">
      <c r="V41" s="37"/>
      <c r="W41" s="32" t="s">
        <v>453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5797-F41D-4E60-9BC6-4A116B7658FB}">
  <sheetPr>
    <tabColor theme="5"/>
  </sheetPr>
  <dimension ref="B4:AB26"/>
  <sheetViews>
    <sheetView showGridLines="0" topLeftCell="M1" zoomScale="83" workbookViewId="0">
      <selection activeCell="S35" sqref="S35"/>
    </sheetView>
  </sheetViews>
  <sheetFormatPr baseColWidth="10" defaultColWidth="8.83203125" defaultRowHeight="14"/>
  <cols>
    <col min="1" max="1" width="1.6640625" customWidth="1"/>
    <col min="2" max="2" width="19.5" customWidth="1"/>
    <col min="3" max="3" width="19.6640625" customWidth="1"/>
    <col min="4" max="4" width="8.33203125" customWidth="1"/>
    <col min="5" max="5" width="8" customWidth="1"/>
    <col min="6" max="6" width="15.33203125" customWidth="1"/>
    <col min="7" max="7" width="15.1640625" bestFit="1" customWidth="1"/>
    <col min="8" max="8" width="9.33203125" bestFit="1" customWidth="1"/>
    <col min="9" max="9" width="10.5" bestFit="1" customWidth="1"/>
    <col min="10" max="10" width="11.1640625" bestFit="1" customWidth="1"/>
    <col min="11" max="11" width="9" customWidth="1"/>
    <col min="12" max="12" width="2.5" customWidth="1"/>
    <col min="13" max="13" width="18.6640625" bestFit="1" customWidth="1"/>
    <col min="14" max="14" width="23.83203125" bestFit="1" customWidth="1"/>
    <col min="15" max="15" width="13.33203125" customWidth="1"/>
    <col min="16" max="16" width="17.1640625" customWidth="1"/>
    <col min="17" max="17" width="18.6640625" bestFit="1" customWidth="1"/>
    <col min="18" max="18" width="20.6640625" bestFit="1" customWidth="1"/>
    <col min="19" max="19" width="7.6640625" customWidth="1"/>
    <col min="20" max="20" width="13.33203125" customWidth="1"/>
    <col min="21" max="21" width="20.83203125" customWidth="1"/>
    <col min="22" max="22" width="21.1640625" customWidth="1"/>
    <col min="23" max="23" width="11.33203125" customWidth="1"/>
    <col min="24" max="24" width="14.1640625" customWidth="1"/>
    <col min="25" max="25" width="13.33203125" customWidth="1"/>
    <col min="27" max="27" width="16.1640625" customWidth="1"/>
    <col min="28" max="28" width="25.1640625" customWidth="1"/>
  </cols>
  <sheetData>
    <row r="4" spans="2:28">
      <c r="B4" s="9" t="s">
        <v>454</v>
      </c>
      <c r="C4" s="9"/>
      <c r="D4" s="9"/>
      <c r="E4" s="9"/>
      <c r="G4" s="9" t="s">
        <v>455</v>
      </c>
      <c r="H4" s="9"/>
      <c r="I4" s="9"/>
      <c r="J4" s="9"/>
      <c r="M4" s="9" t="s">
        <v>456</v>
      </c>
      <c r="N4" s="9"/>
      <c r="O4" s="9"/>
      <c r="Q4" s="9" t="s">
        <v>457</v>
      </c>
      <c r="R4" s="9"/>
      <c r="S4" s="9"/>
      <c r="U4" s="9" t="s">
        <v>458</v>
      </c>
      <c r="V4" s="9"/>
      <c r="X4" s="9" t="s">
        <v>459</v>
      </c>
      <c r="Y4" s="9"/>
      <c r="AA4" s="9" t="s">
        <v>460</v>
      </c>
      <c r="AB4" s="9"/>
    </row>
    <row r="5" spans="2:28">
      <c r="B5" s="12" t="s">
        <v>461</v>
      </c>
      <c r="C5" t="s">
        <v>462</v>
      </c>
      <c r="G5" s="12" t="s">
        <v>463</v>
      </c>
      <c r="H5" s="12" t="s">
        <v>463</v>
      </c>
      <c r="M5" s="12" t="s">
        <v>461</v>
      </c>
      <c r="N5" t="s">
        <v>464</v>
      </c>
      <c r="Q5" s="12" t="s">
        <v>461</v>
      </c>
      <c r="R5" t="s">
        <v>465</v>
      </c>
      <c r="U5" s="12" t="s">
        <v>461</v>
      </c>
      <c r="V5" t="s">
        <v>466</v>
      </c>
      <c r="X5" t="s">
        <v>467</v>
      </c>
      <c r="Y5" s="14" t="s">
        <v>468</v>
      </c>
      <c r="AA5" s="12" t="s">
        <v>461</v>
      </c>
      <c r="AB5" t="s">
        <v>469</v>
      </c>
    </row>
    <row r="6" spans="2:28">
      <c r="B6" s="13" t="s">
        <v>13</v>
      </c>
      <c r="C6" s="53">
        <v>352</v>
      </c>
      <c r="G6" s="12" t="s">
        <v>470</v>
      </c>
      <c r="H6" t="s">
        <v>13</v>
      </c>
      <c r="I6" t="s">
        <v>43</v>
      </c>
      <c r="J6" t="s">
        <v>471</v>
      </c>
      <c r="M6" s="13" t="s">
        <v>44</v>
      </c>
      <c r="N6" s="53">
        <v>168</v>
      </c>
      <c r="Q6" s="13" t="s">
        <v>32</v>
      </c>
      <c r="R6" s="53">
        <v>216</v>
      </c>
      <c r="U6" s="13" t="s">
        <v>19</v>
      </c>
      <c r="V6" s="53">
        <v>190</v>
      </c>
      <c r="X6" s="10">
        <v>26467.800000000378</v>
      </c>
      <c r="Y6" s="10">
        <f>GETPIVOTDATA("Mesalidades",$X$5)*12</f>
        <v>317613.60000000452</v>
      </c>
      <c r="AA6" s="13" t="s">
        <v>14</v>
      </c>
      <c r="AB6">
        <v>27</v>
      </c>
    </row>
    <row r="7" spans="2:28">
      <c r="B7" s="13" t="s">
        <v>43</v>
      </c>
      <c r="C7" s="53">
        <v>450</v>
      </c>
      <c r="G7" s="13" t="s">
        <v>25</v>
      </c>
      <c r="H7" s="53">
        <v>43</v>
      </c>
      <c r="I7" s="53">
        <v>61</v>
      </c>
      <c r="J7" s="53">
        <v>104</v>
      </c>
      <c r="M7" s="13" t="s">
        <v>18</v>
      </c>
      <c r="N7" s="53">
        <v>266</v>
      </c>
      <c r="Q7" s="13" t="s">
        <v>16</v>
      </c>
      <c r="R7" s="53">
        <v>409</v>
      </c>
      <c r="U7" s="13" t="s">
        <v>21</v>
      </c>
      <c r="V7" s="53">
        <v>69</v>
      </c>
      <c r="AA7" s="13" t="s">
        <v>56</v>
      </c>
      <c r="AB7">
        <v>238</v>
      </c>
    </row>
    <row r="8" spans="2:28">
      <c r="B8" s="13" t="s">
        <v>471</v>
      </c>
      <c r="C8" s="53">
        <v>802</v>
      </c>
      <c r="G8" s="13" t="s">
        <v>26</v>
      </c>
      <c r="H8" s="53">
        <v>101</v>
      </c>
      <c r="I8" s="53">
        <v>111</v>
      </c>
      <c r="J8" s="53">
        <v>212</v>
      </c>
      <c r="M8" s="13" t="s">
        <v>33</v>
      </c>
      <c r="N8" s="53">
        <v>136</v>
      </c>
      <c r="Q8" s="13" t="s">
        <v>52</v>
      </c>
      <c r="R8" s="53">
        <v>177</v>
      </c>
      <c r="U8" s="13" t="s">
        <v>36</v>
      </c>
      <c r="V8" s="53">
        <v>23</v>
      </c>
      <c r="X8" s="19" t="s">
        <v>472</v>
      </c>
      <c r="Y8" s="19" t="s">
        <v>468</v>
      </c>
      <c r="AA8" s="13" t="s">
        <v>180</v>
      </c>
      <c r="AB8">
        <v>66</v>
      </c>
    </row>
    <row r="9" spans="2:28">
      <c r="G9" s="13" t="s">
        <v>27</v>
      </c>
      <c r="H9" s="53">
        <v>89</v>
      </c>
      <c r="I9" s="53">
        <v>121</v>
      </c>
      <c r="J9" s="53">
        <v>210</v>
      </c>
      <c r="M9" s="13" t="s">
        <v>41</v>
      </c>
      <c r="N9" s="53">
        <v>232</v>
      </c>
      <c r="Q9" s="13" t="s">
        <v>471</v>
      </c>
      <c r="R9" s="53">
        <v>802</v>
      </c>
      <c r="U9" s="13" t="s">
        <v>72</v>
      </c>
      <c r="V9" s="53">
        <v>47</v>
      </c>
      <c r="X9" s="26">
        <f>GETPIVOTDATA("Mesalidades",$X$5)</f>
        <v>26467.800000000378</v>
      </c>
      <c r="Y9" s="27">
        <f>Y6</f>
        <v>317613.60000000452</v>
      </c>
      <c r="AA9" s="13" t="s">
        <v>214</v>
      </c>
      <c r="AB9">
        <v>156</v>
      </c>
    </row>
    <row r="10" spans="2:28">
      <c r="B10" s="17" t="s">
        <v>13</v>
      </c>
      <c r="C10" s="18">
        <f>IFERROR(GETPIVOTDATA("Gênero",$B$5,"Gênero",B10),0)</f>
        <v>352</v>
      </c>
      <c r="D10" s="16">
        <f>C10/C12</f>
        <v>0.43890274314214461</v>
      </c>
      <c r="G10" s="13" t="s">
        <v>28</v>
      </c>
      <c r="H10" s="53">
        <v>119</v>
      </c>
      <c r="I10" s="53">
        <v>157</v>
      </c>
      <c r="J10" s="53">
        <v>276</v>
      </c>
      <c r="M10" s="13" t="s">
        <v>471</v>
      </c>
      <c r="N10" s="53">
        <v>802</v>
      </c>
      <c r="U10" s="13" t="s">
        <v>46</v>
      </c>
      <c r="V10" s="53">
        <v>70</v>
      </c>
      <c r="AA10" s="13" t="s">
        <v>291</v>
      </c>
      <c r="AB10">
        <v>315</v>
      </c>
    </row>
    <row r="11" spans="2:28">
      <c r="B11" s="17" t="s">
        <v>43</v>
      </c>
      <c r="C11" s="18">
        <f>IFERROR(GETPIVOTDATA("Gênero",$B$5,"Gênero",B11),0)</f>
        <v>450</v>
      </c>
      <c r="D11" s="16">
        <f>C11/C12</f>
        <v>0.56109725685785539</v>
      </c>
      <c r="G11" s="13" t="s">
        <v>471</v>
      </c>
      <c r="H11" s="53">
        <v>352</v>
      </c>
      <c r="I11" s="53">
        <v>450</v>
      </c>
      <c r="J11" s="53">
        <v>802</v>
      </c>
      <c r="Q11" s="28" t="s">
        <v>32</v>
      </c>
      <c r="R11" s="29">
        <f>IFERROR(GETPIVOTDATA("Região",$Q$5,"Região","Paraná"),"--")</f>
        <v>216</v>
      </c>
      <c r="S11" s="30">
        <f>IFERROR(R11/SUM($R$11,$R$12,$R$13),"--")</f>
        <v>0.26932668329177056</v>
      </c>
      <c r="U11" s="13" t="s">
        <v>54</v>
      </c>
      <c r="V11" s="53">
        <v>23</v>
      </c>
      <c r="AA11" s="13" t="s">
        <v>471</v>
      </c>
      <c r="AB11">
        <v>802</v>
      </c>
    </row>
    <row r="12" spans="2:28">
      <c r="B12" s="18" t="s">
        <v>473</v>
      </c>
      <c r="C12" s="18">
        <f>C10+C11</f>
        <v>802</v>
      </c>
      <c r="D12" s="18"/>
      <c r="E12" s="15"/>
      <c r="Q12" s="28" t="s">
        <v>16</v>
      </c>
      <c r="R12" s="29">
        <f>IFERROR(GETPIVOTDATA("Região",$Q$5,"Região","Rio Grande do Sul"),"--")</f>
        <v>409</v>
      </c>
      <c r="S12" s="30">
        <f>IFERROR(R12/SUM($R$11,$R$12,$R$13),"--")</f>
        <v>0.5099750623441397</v>
      </c>
      <c r="U12" s="13" t="s">
        <v>17</v>
      </c>
      <c r="V12" s="53">
        <v>333</v>
      </c>
    </row>
    <row r="13" spans="2:28">
      <c r="E13" s="15"/>
      <c r="Q13" s="28" t="s">
        <v>52</v>
      </c>
      <c r="R13" s="29">
        <f>IFERROR(GETPIVOTDATA("Região",$Q$5,"Região","Santa Catarina"),"--")</f>
        <v>177</v>
      </c>
      <c r="S13" s="30">
        <f>R13/SUM($R$11,$R$12,$R$13)</f>
        <v>0.22069825436408977</v>
      </c>
      <c r="U13" s="13" t="s">
        <v>24</v>
      </c>
      <c r="V13" s="53">
        <v>47</v>
      </c>
    </row>
    <row r="14" spans="2:28">
      <c r="U14" s="13" t="s">
        <v>471</v>
      </c>
      <c r="V14" s="53">
        <v>802</v>
      </c>
    </row>
    <row r="16" spans="2:28">
      <c r="M16" s="38" t="s">
        <v>474</v>
      </c>
      <c r="N16" s="39" t="s">
        <v>475</v>
      </c>
      <c r="O16" s="40" t="s">
        <v>476</v>
      </c>
    </row>
    <row r="17" spans="13:22">
      <c r="M17" s="41" t="s">
        <v>33</v>
      </c>
      <c r="N17" s="42">
        <f>IFERROR(GETPIVOTDATA("Assinatura",$M$5,"Assinatura","Premium X"),0)</f>
        <v>136</v>
      </c>
      <c r="O17" s="43">
        <f>N17/$N$21</f>
        <v>0.16957605985037408</v>
      </c>
    </row>
    <row r="18" spans="13:22">
      <c r="M18" s="41" t="s">
        <v>44</v>
      </c>
      <c r="N18" s="42">
        <f>IFERROR(GETPIVOTDATA("Assinatura",$M$5,"Assinatura","Deluxe Box"),0)</f>
        <v>168</v>
      </c>
      <c r="O18" s="43">
        <f>N18/$N$21</f>
        <v>0.20947630922693267</v>
      </c>
      <c r="U18" s="22" t="s">
        <v>474</v>
      </c>
      <c r="V18" s="23" t="s">
        <v>475</v>
      </c>
    </row>
    <row r="19" spans="13:22">
      <c r="M19" s="41" t="s">
        <v>41</v>
      </c>
      <c r="N19" s="42">
        <f>IFERROR(GETPIVOTDATA("Assinatura",$M$5,"Assinatura","Safe Watch"),0)</f>
        <v>232</v>
      </c>
      <c r="O19" s="43">
        <f>N19/$N$21</f>
        <v>0.2892768079800499</v>
      </c>
      <c r="U19" s="20" t="s">
        <v>36</v>
      </c>
      <c r="V19" s="21">
        <f t="shared" ref="V19:V26" si="0">IFERROR(GETPIVOTDATA("Avaliação",U5,"Avaliação",U19),0)</f>
        <v>23</v>
      </c>
    </row>
    <row r="20" spans="13:22">
      <c r="M20" s="44" t="s">
        <v>18</v>
      </c>
      <c r="N20" s="45">
        <f>IFERROR(GETPIVOTDATA("Assinatura",$M$5,"Assinatura","Magic Box"),0)</f>
        <v>266</v>
      </c>
      <c r="O20" s="46">
        <f>N20/$N$21</f>
        <v>0.33167082294264338</v>
      </c>
      <c r="U20" s="20" t="s">
        <v>54</v>
      </c>
      <c r="V20" s="21">
        <f t="shared" si="0"/>
        <v>23</v>
      </c>
    </row>
    <row r="21" spans="13:22">
      <c r="M21" s="42"/>
      <c r="N21" s="42">
        <f>SUM(N17:N20)</f>
        <v>802</v>
      </c>
      <c r="O21" s="42"/>
      <c r="U21" s="20" t="s">
        <v>72</v>
      </c>
      <c r="V21" s="21">
        <f t="shared" si="0"/>
        <v>47</v>
      </c>
    </row>
    <row r="22" spans="13:22">
      <c r="U22" s="20" t="s">
        <v>24</v>
      </c>
      <c r="V22" s="21">
        <f t="shared" si="0"/>
        <v>47</v>
      </c>
    </row>
    <row r="23" spans="13:22">
      <c r="U23" s="20" t="s">
        <v>21</v>
      </c>
      <c r="V23" s="21">
        <f t="shared" si="0"/>
        <v>69</v>
      </c>
    </row>
    <row r="24" spans="13:22">
      <c r="U24" s="20" t="s">
        <v>46</v>
      </c>
      <c r="V24" s="21">
        <f t="shared" si="0"/>
        <v>70</v>
      </c>
    </row>
    <row r="25" spans="13:22">
      <c r="U25" s="20" t="s">
        <v>19</v>
      </c>
      <c r="V25" s="21">
        <f t="shared" si="0"/>
        <v>190</v>
      </c>
    </row>
    <row r="26" spans="13:22">
      <c r="U26" s="24" t="s">
        <v>17</v>
      </c>
      <c r="V26" s="25">
        <f t="shared" si="0"/>
        <v>333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M18:N21">
    <sortCondition descending="1" ref="M17:M21"/>
  </sortState>
  <pageMargins left="0.511811024" right="0.511811024" top="0.78740157499999996" bottom="0.78740157499999996" header="0.31496062000000002" footer="0.31496062000000002"/>
  <pageSetup paperSize="9" orientation="portrait" horizontalDpi="0" verticalDpi="0"/>
  <drawing r:id="rId8"/>
  <tableParts count="2"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C6F6-B3E2-44AF-B406-D60B9ADCDA2F}">
  <sheetPr>
    <tabColor theme="8"/>
  </sheetPr>
  <dimension ref="A1:AI40"/>
  <sheetViews>
    <sheetView showGridLines="0" tabSelected="1" zoomScaleNormal="85" workbookViewId="0">
      <selection activeCell="R50" sqref="R50"/>
    </sheetView>
  </sheetViews>
  <sheetFormatPr baseColWidth="10" defaultColWidth="8.83203125" defaultRowHeight="14"/>
  <cols>
    <col min="5" max="5" width="8.83203125" customWidth="1"/>
  </cols>
  <sheetData>
    <row r="1" spans="1: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4"/>
      <c r="AC1" s="4"/>
      <c r="AD1" s="4"/>
      <c r="AE1" s="3"/>
      <c r="AF1" s="3"/>
      <c r="AG1" s="3"/>
      <c r="AH1" s="3"/>
      <c r="AI1" s="3"/>
    </row>
    <row r="2" spans="1: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4"/>
      <c r="AC2" s="4"/>
      <c r="AD2" s="4"/>
      <c r="AE2" s="3"/>
      <c r="AF2" s="3"/>
      <c r="AG2" s="3"/>
      <c r="AH2" s="3"/>
      <c r="AI2" s="3"/>
    </row>
    <row r="3" spans="1:3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4"/>
      <c r="AC3" s="4"/>
      <c r="AD3" s="4"/>
      <c r="AE3" s="3"/>
      <c r="AF3" s="3"/>
      <c r="AG3" s="3"/>
      <c r="AH3" s="3"/>
      <c r="AI3" s="3"/>
    </row>
    <row r="4" spans="1:3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4"/>
      <c r="AC4" s="4"/>
      <c r="AD4" s="4"/>
      <c r="AE4" s="3"/>
      <c r="AF4" s="3"/>
      <c r="AG4" s="3"/>
      <c r="AH4" s="3"/>
      <c r="AI4" s="3"/>
    </row>
    <row r="5" spans="1:3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4"/>
      <c r="AC5" s="4"/>
      <c r="AD5" s="4"/>
      <c r="AE5" s="3"/>
      <c r="AF5" s="3"/>
      <c r="AG5" s="3"/>
      <c r="AH5" s="3"/>
      <c r="AI5" s="3"/>
    </row>
    <row r="6" spans="1:3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4"/>
      <c r="AC6" s="4"/>
      <c r="AD6" s="4"/>
      <c r="AE6" s="3"/>
      <c r="AF6" s="3"/>
      <c r="AG6" s="3"/>
      <c r="AH6" s="3"/>
      <c r="AI6" s="3"/>
    </row>
    <row r="7" spans="1:3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4"/>
      <c r="AC7" s="4"/>
      <c r="AD7" s="4"/>
      <c r="AE7" s="3"/>
      <c r="AF7" s="3"/>
      <c r="AG7" s="3"/>
      <c r="AH7" s="3"/>
      <c r="AI7" s="3"/>
    </row>
    <row r="8" spans="1:3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4"/>
      <c r="AC8" s="4"/>
      <c r="AD8" s="4"/>
      <c r="AE8" s="3"/>
      <c r="AF8" s="3"/>
      <c r="AG8" s="3"/>
      <c r="AH8" s="3"/>
      <c r="AI8" s="3"/>
    </row>
    <row r="9" spans="1:3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4"/>
      <c r="AC9" s="4"/>
      <c r="AD9" s="4"/>
      <c r="AE9" s="3"/>
      <c r="AF9" s="3"/>
      <c r="AG9" s="3"/>
      <c r="AH9" s="3"/>
      <c r="AI9" s="3"/>
    </row>
    <row r="10" spans="1:3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4"/>
      <c r="AC10" s="4"/>
      <c r="AD10" s="4"/>
      <c r="AE10" s="3"/>
      <c r="AF10" s="3"/>
      <c r="AG10" s="3"/>
      <c r="AH10" s="3"/>
      <c r="AI10" s="3"/>
    </row>
    <row r="11" spans="1:3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4"/>
      <c r="AC11" s="4"/>
      <c r="AD11" s="4"/>
      <c r="AE11" s="3"/>
      <c r="AF11" s="3"/>
      <c r="AG11" s="3"/>
      <c r="AH11" s="3"/>
      <c r="AI11" s="3"/>
    </row>
    <row r="12" spans="1:3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4"/>
      <c r="AC12" s="4"/>
      <c r="AD12" s="4"/>
      <c r="AE12" s="3"/>
      <c r="AF12" s="3"/>
      <c r="AG12" s="3"/>
      <c r="AH12" s="3"/>
      <c r="AI12" s="3"/>
    </row>
    <row r="13" spans="1:3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4"/>
      <c r="AC13" s="4"/>
      <c r="AD13" s="4"/>
      <c r="AE13" s="3"/>
      <c r="AF13" s="3"/>
      <c r="AG13" s="3"/>
      <c r="AH13" s="3"/>
      <c r="AI13" s="3"/>
    </row>
    <row r="14" spans="1:3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4"/>
      <c r="AC14" s="4"/>
      <c r="AD14" s="4"/>
      <c r="AE14" s="3"/>
      <c r="AF14" s="3"/>
      <c r="AG14" s="3"/>
      <c r="AH14" s="3"/>
      <c r="AI14" s="3"/>
    </row>
    <row r="15" spans="1:3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4"/>
      <c r="AC15" s="4"/>
      <c r="AD15" s="4"/>
      <c r="AE15" s="3"/>
      <c r="AF15" s="3"/>
      <c r="AG15" s="3"/>
      <c r="AH15" s="3"/>
      <c r="AI15" s="3"/>
    </row>
    <row r="16" spans="1:3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4"/>
      <c r="AC16" s="4"/>
      <c r="AD16" s="4"/>
      <c r="AE16" s="3"/>
      <c r="AF16" s="3"/>
      <c r="AG16" s="3"/>
      <c r="AH16" s="3"/>
      <c r="AI16" s="3"/>
    </row>
    <row r="17" spans="1:3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4"/>
      <c r="AC17" s="4"/>
      <c r="AD17" s="4"/>
      <c r="AE17" s="3"/>
      <c r="AF17" s="3"/>
      <c r="AG17" s="3"/>
      <c r="AH17" s="3"/>
      <c r="AI17" s="3"/>
    </row>
    <row r="18" spans="1:3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4"/>
      <c r="AC18" s="4"/>
      <c r="AD18" s="4"/>
      <c r="AE18" s="3"/>
      <c r="AF18" s="3"/>
      <c r="AG18" s="3"/>
      <c r="AH18" s="3"/>
      <c r="AI18" s="3"/>
    </row>
    <row r="19" spans="1:3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4"/>
      <c r="AC19" s="4"/>
      <c r="AD19" s="4"/>
      <c r="AE19" s="3"/>
      <c r="AF19" s="3"/>
      <c r="AG19" s="3"/>
      <c r="AH19" s="3"/>
      <c r="AI19" s="3"/>
    </row>
    <row r="20" spans="1: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4"/>
      <c r="AC20" s="4"/>
      <c r="AD20" s="4"/>
      <c r="AE20" s="3"/>
      <c r="AF20" s="3"/>
      <c r="AG20" s="3"/>
      <c r="AH20" s="3"/>
      <c r="AI20" s="3"/>
    </row>
    <row r="21" spans="1:3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4"/>
      <c r="AC21" s="4"/>
      <c r="AD21" s="4"/>
      <c r="AE21" s="3"/>
      <c r="AF21" s="3"/>
      <c r="AG21" s="3"/>
      <c r="AH21" s="3"/>
      <c r="AI21" s="3"/>
    </row>
    <row r="22" spans="1:3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4"/>
      <c r="AC22" s="4"/>
      <c r="AD22" s="4"/>
      <c r="AE22" s="3"/>
      <c r="AF22" s="3"/>
      <c r="AG22" s="3"/>
      <c r="AH22" s="3"/>
      <c r="AI22" s="3"/>
    </row>
    <row r="23" spans="1:3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4"/>
      <c r="AC23" s="4"/>
      <c r="AD23" s="4"/>
      <c r="AE23" s="3"/>
      <c r="AF23" s="3"/>
      <c r="AG23" s="3"/>
      <c r="AH23" s="3"/>
      <c r="AI23" s="3"/>
    </row>
    <row r="24" spans="1:3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4"/>
      <c r="AC24" s="4"/>
      <c r="AD24" s="4"/>
      <c r="AE24" s="3"/>
      <c r="AF24" s="3"/>
      <c r="AG24" s="3"/>
      <c r="AH24" s="3"/>
      <c r="AI24" s="3"/>
    </row>
    <row r="25" spans="1:3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4"/>
      <c r="AC25" s="4"/>
      <c r="AD25" s="4"/>
      <c r="AE25" s="3"/>
      <c r="AF25" s="3"/>
      <c r="AG25" s="3"/>
      <c r="AH25" s="3"/>
      <c r="AI25" s="3"/>
    </row>
    <row r="26" spans="1:3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4"/>
      <c r="AC26" s="4"/>
      <c r="AD26" s="4"/>
      <c r="AE26" s="3"/>
      <c r="AF26" s="3"/>
      <c r="AG26" s="3"/>
      <c r="AH26" s="3"/>
      <c r="AI26" s="3"/>
    </row>
    <row r="27" spans="1:3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4"/>
      <c r="AC27" s="4"/>
      <c r="AD27" s="4"/>
      <c r="AE27" s="3"/>
      <c r="AF27" s="3"/>
      <c r="AG27" s="3"/>
      <c r="AH27" s="3"/>
      <c r="AI27" s="3"/>
    </row>
    <row r="28" spans="1:3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4"/>
      <c r="AC28" s="4"/>
      <c r="AD28" s="4"/>
      <c r="AE28" s="3"/>
      <c r="AF28" s="3"/>
      <c r="AG28" s="3"/>
      <c r="AH28" s="3"/>
      <c r="AI28" s="3"/>
    </row>
    <row r="29" spans="1:3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4"/>
      <c r="AC29" s="4"/>
      <c r="AD29" s="4"/>
      <c r="AE29" s="3"/>
      <c r="AF29" s="3"/>
      <c r="AG29" s="3"/>
      <c r="AH29" s="3"/>
      <c r="AI29" s="3"/>
    </row>
    <row r="30" spans="1:3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4"/>
      <c r="AC30" s="4"/>
      <c r="AD30" s="4"/>
      <c r="AE30" s="3"/>
      <c r="AF30" s="3"/>
      <c r="AG30" s="3"/>
      <c r="AH30" s="3"/>
      <c r="AI30" s="3"/>
    </row>
    <row r="31" spans="1:3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4"/>
      <c r="AC31" s="4"/>
      <c r="AD31" s="4"/>
      <c r="AE31" s="3"/>
      <c r="AF31" s="3"/>
      <c r="AG31" s="3"/>
      <c r="AH31" s="3"/>
      <c r="AI31" s="3"/>
    </row>
    <row r="32" spans="1:3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4"/>
      <c r="AC32" s="4"/>
      <c r="AD32" s="4"/>
      <c r="AE32" s="3"/>
      <c r="AF32" s="3"/>
      <c r="AG32" s="3"/>
      <c r="AH32" s="3"/>
      <c r="AI32" s="3"/>
    </row>
    <row r="33" spans="1:3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4"/>
      <c r="AC33" s="4"/>
      <c r="AD33" s="4"/>
      <c r="AE33" s="3"/>
      <c r="AF33" s="3"/>
      <c r="AG33" s="3"/>
      <c r="AH33" s="3"/>
      <c r="AI33" s="3"/>
    </row>
    <row r="34" spans="1:3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4"/>
      <c r="AC34" s="4"/>
      <c r="AD34" s="4"/>
      <c r="AE34" s="3"/>
      <c r="AF34" s="3"/>
      <c r="AG34" s="3"/>
      <c r="AH34" s="3"/>
      <c r="AI34" s="3"/>
    </row>
    <row r="35" spans="1: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4"/>
      <c r="AC35" s="4"/>
      <c r="AD35" s="4"/>
      <c r="AE35" s="3"/>
      <c r="AF35" s="3"/>
      <c r="AG35" s="3"/>
      <c r="AH35" s="3"/>
      <c r="AI35" s="3"/>
    </row>
    <row r="36" spans="1:3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4"/>
      <c r="AC36" s="4"/>
      <c r="AD36" s="4"/>
      <c r="AE36" s="3"/>
      <c r="AF36" s="3"/>
      <c r="AG36" s="3"/>
      <c r="AH36" s="3"/>
      <c r="AI36" s="3"/>
    </row>
    <row r="37" spans="1:3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4"/>
      <c r="AC37" s="4"/>
      <c r="AD37" s="4"/>
      <c r="AE37" s="3"/>
      <c r="AF37" s="3"/>
      <c r="AG37" s="3"/>
      <c r="AH37" s="3"/>
      <c r="AI37" s="3"/>
    </row>
    <row r="38" spans="1:3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4"/>
      <c r="AC38" s="4"/>
      <c r="AD38" s="4"/>
      <c r="AE38" s="3"/>
      <c r="AF38" s="3"/>
      <c r="AG38" s="3"/>
      <c r="AH38" s="3"/>
      <c r="AI38" s="3"/>
    </row>
    <row r="39" spans="1:3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4"/>
      <c r="AC39" s="4"/>
      <c r="AD39" s="4"/>
      <c r="AE39" s="3"/>
      <c r="AF39" s="3"/>
      <c r="AG39" s="3"/>
      <c r="AH39" s="3"/>
      <c r="AI39" s="3"/>
    </row>
    <row r="40" spans="1:3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"/>
      <c r="AC40" s="3"/>
      <c r="AD40" s="3"/>
      <c r="AE40" s="3"/>
      <c r="AF40" s="3"/>
      <c r="AG40" s="3"/>
      <c r="AH40" s="3"/>
      <c r="AI40" s="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BaseAssinantes</vt:lpstr>
      <vt:lpstr>Planejamento</vt:lpstr>
      <vt:lpstr>Análise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Fantin</dc:creator>
  <cp:keywords/>
  <dc:description/>
  <cp:lastModifiedBy>ANA CLARA FERREIRA CALDEIRA</cp:lastModifiedBy>
  <cp:revision/>
  <cp:lastPrinted>2026-03-29T14:34:19Z</cp:lastPrinted>
  <dcterms:created xsi:type="dcterms:W3CDTF">2024-03-18T18:37:37Z</dcterms:created>
  <dcterms:modified xsi:type="dcterms:W3CDTF">2026-03-29T19:13:48Z</dcterms:modified>
  <cp:category/>
  <cp:contentStatus/>
</cp:coreProperties>
</file>